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E7875E5C-B8DB-4675-BF34-3DCF62A07712}" xr6:coauthVersionLast="36" xr6:coauthVersionMax="36" xr10:uidLastSave="{00000000-0000-0000-0000-000000000000}"/>
  <bookViews>
    <workbookView xWindow="0" yWindow="0" windowWidth="28800" windowHeight="12105" activeTab="1" xr2:uid="{8D6C0FA3-C012-4463-B83B-7B6D56B3562A}"/>
  </bookViews>
  <sheets>
    <sheet name="EX1" sheetId="3" r:id="rId1"/>
    <sheet name="EX2" sheetId="1" r:id="rId2"/>
  </sheets>
  <definedNames>
    <definedName name="solver_adj" localSheetId="0" hidden="1">'EX1'!$B$3:$G$3</definedName>
    <definedName name="solver_adj" localSheetId="1" hidden="1">'EX2'!$B$5:$J$5</definedName>
    <definedName name="solver_cvg" localSheetId="0" hidden="1">0.0001</definedName>
    <definedName name="solver_cvg" localSheetId="1" hidden="1">0.0001</definedName>
    <definedName name="solver_drv" localSheetId="0" hidden="1">1</definedName>
    <definedName name="solver_drv" localSheetId="1" hidden="1">1</definedName>
    <definedName name="solver_eng" localSheetId="0" hidden="1">2</definedName>
    <definedName name="solver_eng" localSheetId="1" hidden="1">2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'EX1'!$I$7:$I$11</definedName>
    <definedName name="solver_lhs1" localSheetId="1" hidden="1">'EX2'!$L$9:$L$14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od" localSheetId="1" hidden="1">2147483647</definedName>
    <definedName name="solver_num" localSheetId="0" hidden="1">1</definedName>
    <definedName name="solver_num" localSheetId="1" hidden="1">1</definedName>
    <definedName name="solver_nwt" localSheetId="0" hidden="1">1</definedName>
    <definedName name="solver_nwt" localSheetId="1" hidden="1">1</definedName>
    <definedName name="solver_opt" localSheetId="0" hidden="1">'EX1'!$J$4</definedName>
    <definedName name="solver_opt" localSheetId="1" hidden="1">'EX2'!$M$6</definedName>
    <definedName name="solver_pre" localSheetId="0" hidden="1">0.000001</definedName>
    <definedName name="solver_pre" localSheetId="1" hidden="1">0.000001</definedName>
    <definedName name="solver_rbv" localSheetId="0" hidden="1">1</definedName>
    <definedName name="solver_rbv" localSheetId="1" hidden="1">1</definedName>
    <definedName name="solver_rel1" localSheetId="0" hidden="1">2</definedName>
    <definedName name="solver_rel1" localSheetId="1" hidden="1">2</definedName>
    <definedName name="solver_rhs1" localSheetId="0" hidden="1">'EX1'!$J$7:$J$11</definedName>
    <definedName name="solver_rhs1" localSheetId="1" hidden="1">'EX2'!$M$9:$M$14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1</definedName>
    <definedName name="solver_scl" localSheetId="1" hidden="1">1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2</definedName>
    <definedName name="solver_typ" localSheetId="1" hidden="1">2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0" i="3" l="1"/>
  <c r="I11" i="3"/>
  <c r="I9" i="3"/>
  <c r="I8" i="3"/>
  <c r="I7" i="3"/>
  <c r="L13" i="1"/>
  <c r="L14" i="1"/>
  <c r="L12" i="1"/>
  <c r="L11" i="1"/>
  <c r="L10" i="1"/>
  <c r="L9" i="1"/>
  <c r="M6" i="1"/>
  <c r="J4" i="3"/>
</calcChain>
</file>

<file path=xl/sharedStrings.xml><?xml version="1.0" encoding="utf-8"?>
<sst xmlns="http://schemas.openxmlformats.org/spreadsheetml/2006/main" count="39" uniqueCount="29">
  <si>
    <t>X11</t>
  </si>
  <si>
    <t>X12</t>
  </si>
  <si>
    <t>X13</t>
  </si>
  <si>
    <t>X21</t>
  </si>
  <si>
    <t>X22</t>
  </si>
  <si>
    <t>X23</t>
  </si>
  <si>
    <t>Envio</t>
  </si>
  <si>
    <t>Transporte</t>
  </si>
  <si>
    <t>Total:</t>
  </si>
  <si>
    <t>Restrições</t>
  </si>
  <si>
    <t>CA1</t>
  </si>
  <si>
    <t>CA2</t>
  </si>
  <si>
    <t>CD1</t>
  </si>
  <si>
    <t>CD2</t>
  </si>
  <si>
    <t>CD3</t>
  </si>
  <si>
    <t>Usado</t>
  </si>
  <si>
    <t>Disponivel</t>
  </si>
  <si>
    <t>Variáveis</t>
  </si>
  <si>
    <t>X31</t>
  </si>
  <si>
    <t>X32</t>
  </si>
  <si>
    <t>X33</t>
  </si>
  <si>
    <t>Custo</t>
  </si>
  <si>
    <t>Valor transporte</t>
  </si>
  <si>
    <t>DP1</t>
  </si>
  <si>
    <t>DP2</t>
  </si>
  <si>
    <t>DP3</t>
  </si>
  <si>
    <t>Dest1</t>
  </si>
  <si>
    <t>Dest2</t>
  </si>
  <si>
    <t>Dest3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</si>
</sst>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Bahnschrift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2A58C-75C5-4FAB-AB81-0A5C76C1B4FA}">
  <dimension ref="A2:J11"/>
  <sheetViews>
    <sheetView showGridLines="0" workbookViewId="0">
      <selection activeCell="G15" sqref="G15"/>
    </sheetView>
  </sheetViews>
  <sheetFormatPr defaultRowHeight="14.25" x14ac:dyDescent="0.2"/>
  <cols>
    <col min="1" max="1" width="11.5703125" style="1" bestFit="1" customWidth="1"/>
    <col min="2" max="9" width="9.140625" style="1"/>
    <col min="10" max="10" width="11.28515625" style="1" bestFit="1" customWidth="1"/>
    <col min="11" max="16384" width="9.140625" style="1"/>
  </cols>
  <sheetData>
    <row r="2" spans="1:10" x14ac:dyDescent="0.2">
      <c r="A2" s="2"/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</row>
    <row r="3" spans="1:10" x14ac:dyDescent="0.2">
      <c r="A3" s="2" t="s">
        <v>6</v>
      </c>
      <c r="B3" s="3">
        <v>0</v>
      </c>
      <c r="C3" s="3">
        <v>5</v>
      </c>
      <c r="D3" s="3">
        <v>10</v>
      </c>
      <c r="E3" s="3">
        <v>20</v>
      </c>
      <c r="F3" s="3">
        <v>5</v>
      </c>
      <c r="G3" s="3">
        <v>0</v>
      </c>
    </row>
    <row r="4" spans="1:10" x14ac:dyDescent="0.2">
      <c r="A4" s="2" t="s">
        <v>7</v>
      </c>
      <c r="B4" s="2">
        <v>10</v>
      </c>
      <c r="C4" s="2">
        <v>3</v>
      </c>
      <c r="D4" s="2">
        <v>5</v>
      </c>
      <c r="E4" s="2">
        <v>12</v>
      </c>
      <c r="F4" s="2">
        <v>7</v>
      </c>
      <c r="G4" s="2">
        <v>9</v>
      </c>
      <c r="I4" s="2" t="s">
        <v>8</v>
      </c>
      <c r="J4" s="3">
        <f>SUMPRODUCT(B3:G3,B4:G4)</f>
        <v>340</v>
      </c>
    </row>
    <row r="6" spans="1:10" x14ac:dyDescent="0.2">
      <c r="A6" s="1" t="s">
        <v>9</v>
      </c>
      <c r="I6" s="2" t="s">
        <v>15</v>
      </c>
      <c r="J6" s="2" t="s">
        <v>16</v>
      </c>
    </row>
    <row r="7" spans="1:10" x14ac:dyDescent="0.2">
      <c r="A7" s="2" t="s">
        <v>10</v>
      </c>
      <c r="B7" s="2">
        <v>1</v>
      </c>
      <c r="C7" s="2">
        <v>1</v>
      </c>
      <c r="D7" s="2">
        <v>1</v>
      </c>
      <c r="E7" s="2"/>
      <c r="F7" s="2"/>
      <c r="G7" s="2"/>
      <c r="I7" s="3">
        <f>SUMPRODUCT(B3:D3,B7:D7)</f>
        <v>15</v>
      </c>
      <c r="J7" s="2">
        <v>15</v>
      </c>
    </row>
    <row r="8" spans="1:10" x14ac:dyDescent="0.2">
      <c r="A8" s="2" t="s">
        <v>11</v>
      </c>
      <c r="B8" s="2"/>
      <c r="C8" s="2"/>
      <c r="D8" s="2"/>
      <c r="E8" s="2">
        <v>1</v>
      </c>
      <c r="F8" s="2">
        <v>1</v>
      </c>
      <c r="G8" s="2">
        <v>1</v>
      </c>
      <c r="I8" s="3">
        <f>SUMPRODUCT(E3:G3,E8:G8)</f>
        <v>25</v>
      </c>
      <c r="J8" s="2">
        <v>25</v>
      </c>
    </row>
    <row r="9" spans="1:10" x14ac:dyDescent="0.2">
      <c r="A9" s="2" t="s">
        <v>12</v>
      </c>
      <c r="B9" s="2">
        <v>1</v>
      </c>
      <c r="C9" s="2"/>
      <c r="D9" s="2"/>
      <c r="E9" s="2">
        <v>1</v>
      </c>
      <c r="F9" s="2"/>
      <c r="G9" s="2"/>
      <c r="I9" s="3">
        <f>SUMPRODUCT($B$3:$G$3,B9:G9)</f>
        <v>20</v>
      </c>
      <c r="J9" s="2">
        <v>20</v>
      </c>
    </row>
    <row r="10" spans="1:10" x14ac:dyDescent="0.2">
      <c r="A10" s="2" t="s">
        <v>13</v>
      </c>
      <c r="B10" s="2"/>
      <c r="C10" s="2">
        <v>1</v>
      </c>
      <c r="D10" s="2"/>
      <c r="E10" s="2"/>
      <c r="F10" s="2">
        <v>1</v>
      </c>
      <c r="G10" s="2"/>
      <c r="I10" s="3">
        <f t="shared" ref="I10:I11" si="0">SUMPRODUCT($B$3:$G$3,B10:G10)</f>
        <v>10</v>
      </c>
      <c r="J10" s="2">
        <v>10</v>
      </c>
    </row>
    <row r="11" spans="1:10" x14ac:dyDescent="0.2">
      <c r="A11" s="2" t="s">
        <v>14</v>
      </c>
      <c r="B11" s="2"/>
      <c r="C11" s="2"/>
      <c r="D11" s="2">
        <v>1</v>
      </c>
      <c r="E11" s="2"/>
      <c r="F11" s="2"/>
      <c r="G11" s="2">
        <v>1</v>
      </c>
      <c r="I11" s="3">
        <f t="shared" si="0"/>
        <v>10</v>
      </c>
      <c r="J11" s="2">
        <v>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C92-3EB1-4211-BE37-FCC0D89C2A94}">
  <dimension ref="A3:M14"/>
  <sheetViews>
    <sheetView showGridLines="0" tabSelected="1" workbookViewId="0">
      <selection activeCell="N29" sqref="N29"/>
    </sheetView>
  </sheetViews>
  <sheetFormatPr defaultRowHeight="14.25" x14ac:dyDescent="0.2"/>
  <cols>
    <col min="1" max="1" width="17" style="1" bestFit="1" customWidth="1"/>
    <col min="2" max="12" width="9.140625" style="1"/>
    <col min="13" max="13" width="11.28515625" style="1" bestFit="1" customWidth="1"/>
    <col min="14" max="16384" width="9.140625" style="1"/>
  </cols>
  <sheetData>
    <row r="3" spans="1:13" x14ac:dyDescent="0.2">
      <c r="A3" s="1" t="s">
        <v>17</v>
      </c>
    </row>
    <row r="4" spans="1:13" x14ac:dyDescent="0.2">
      <c r="A4" s="2"/>
      <c r="B4" s="2" t="s">
        <v>0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18</v>
      </c>
      <c r="I4" s="2" t="s">
        <v>19</v>
      </c>
      <c r="J4" s="2" t="s">
        <v>20</v>
      </c>
    </row>
    <row r="5" spans="1:13" x14ac:dyDescent="0.2">
      <c r="A5" s="2" t="s">
        <v>21</v>
      </c>
      <c r="B5" s="3">
        <v>0</v>
      </c>
      <c r="C5" s="3">
        <v>0</v>
      </c>
      <c r="D5" s="3">
        <v>57</v>
      </c>
      <c r="E5" s="3">
        <v>41</v>
      </c>
      <c r="F5" s="3">
        <v>0</v>
      </c>
      <c r="G5" s="3">
        <v>35</v>
      </c>
      <c r="H5" s="3">
        <v>0</v>
      </c>
      <c r="I5" s="3">
        <v>80</v>
      </c>
      <c r="J5" s="3">
        <v>13</v>
      </c>
    </row>
    <row r="6" spans="1:13" x14ac:dyDescent="0.2">
      <c r="A6" s="2" t="s">
        <v>22</v>
      </c>
      <c r="B6" s="2">
        <v>7</v>
      </c>
      <c r="C6" s="2">
        <v>8</v>
      </c>
      <c r="D6" s="2">
        <v>4</v>
      </c>
      <c r="E6" s="2">
        <v>5</v>
      </c>
      <c r="F6" s="2">
        <v>6</v>
      </c>
      <c r="G6" s="2">
        <v>3</v>
      </c>
      <c r="H6" s="2">
        <v>6</v>
      </c>
      <c r="I6" s="2">
        <v>5</v>
      </c>
      <c r="J6" s="2">
        <v>4</v>
      </c>
      <c r="L6" s="2" t="s">
        <v>8</v>
      </c>
      <c r="M6" s="3">
        <f>SUMPRODUCT(B5:J5,B6:J6)</f>
        <v>990</v>
      </c>
    </row>
    <row r="8" spans="1:13" x14ac:dyDescent="0.2">
      <c r="A8" s="1" t="s">
        <v>9</v>
      </c>
      <c r="L8" s="2" t="s">
        <v>15</v>
      </c>
      <c r="M8" s="2" t="s">
        <v>16</v>
      </c>
    </row>
    <row r="9" spans="1:13" x14ac:dyDescent="0.2">
      <c r="A9" s="2" t="s">
        <v>23</v>
      </c>
      <c r="B9" s="2">
        <v>1</v>
      </c>
      <c r="C9" s="2">
        <v>1</v>
      </c>
      <c r="D9" s="2">
        <v>1</v>
      </c>
      <c r="E9" s="2"/>
      <c r="F9" s="2"/>
      <c r="G9" s="2"/>
      <c r="H9" s="2"/>
      <c r="I9" s="2"/>
      <c r="J9" s="2"/>
      <c r="L9" s="3">
        <f>SUMPRODUCT($B$5:$D$5,B9:D9)</f>
        <v>57</v>
      </c>
      <c r="M9" s="2">
        <v>57</v>
      </c>
    </row>
    <row r="10" spans="1:13" x14ac:dyDescent="0.2">
      <c r="A10" s="2" t="s">
        <v>24</v>
      </c>
      <c r="B10" s="2"/>
      <c r="C10" s="2"/>
      <c r="D10" s="2"/>
      <c r="E10" s="2">
        <v>1</v>
      </c>
      <c r="F10" s="2">
        <v>1</v>
      </c>
      <c r="G10" s="2">
        <v>1</v>
      </c>
      <c r="H10" s="2"/>
      <c r="I10" s="2"/>
      <c r="J10" s="2"/>
      <c r="L10" s="3">
        <f>SUMPRODUCT($E$5:$G$5,E10:G10)</f>
        <v>76</v>
      </c>
      <c r="M10" s="2">
        <v>76</v>
      </c>
    </row>
    <row r="11" spans="1:13" x14ac:dyDescent="0.2">
      <c r="A11" s="2" t="s">
        <v>25</v>
      </c>
      <c r="B11" s="2"/>
      <c r="C11" s="2"/>
      <c r="D11" s="2"/>
      <c r="E11" s="2"/>
      <c r="F11" s="2"/>
      <c r="G11" s="2"/>
      <c r="H11" s="2">
        <v>1</v>
      </c>
      <c r="I11" s="2">
        <v>1</v>
      </c>
      <c r="J11" s="2">
        <v>1</v>
      </c>
      <c r="L11" s="3">
        <f>SUMPRODUCT($H$5:$J$5,H11:J11)</f>
        <v>93</v>
      </c>
      <c r="M11" s="2">
        <v>93</v>
      </c>
    </row>
    <row r="12" spans="1:13" x14ac:dyDescent="0.2">
      <c r="A12" s="2" t="s">
        <v>26</v>
      </c>
      <c r="B12" s="2">
        <v>1</v>
      </c>
      <c r="C12" s="2"/>
      <c r="D12" s="2"/>
      <c r="E12" s="2">
        <v>1</v>
      </c>
      <c r="F12" s="2"/>
      <c r="G12" s="2"/>
      <c r="H12" s="2">
        <v>1</v>
      </c>
      <c r="I12" s="2"/>
      <c r="J12" s="2"/>
      <c r="L12" s="3">
        <f>SUMPRODUCT($B$5:$J$5,B12:J12)</f>
        <v>41</v>
      </c>
      <c r="M12" s="2">
        <v>41</v>
      </c>
    </row>
    <row r="13" spans="1:13" x14ac:dyDescent="0.2">
      <c r="A13" s="2" t="s">
        <v>27</v>
      </c>
      <c r="B13" s="2"/>
      <c r="C13" s="2">
        <v>1</v>
      </c>
      <c r="D13" s="2"/>
      <c r="E13" s="2"/>
      <c r="F13" s="2">
        <v>1</v>
      </c>
      <c r="G13" s="2"/>
      <c r="H13" s="2"/>
      <c r="I13" s="2">
        <v>1</v>
      </c>
      <c r="J13" s="2"/>
      <c r="L13" s="3">
        <f t="shared" ref="L13:L14" si="0">SUMPRODUCT($B$5:$J$5,B13:J13)</f>
        <v>80</v>
      </c>
      <c r="M13" s="2">
        <v>80</v>
      </c>
    </row>
    <row r="14" spans="1:13" x14ac:dyDescent="0.2">
      <c r="A14" s="2" t="s">
        <v>28</v>
      </c>
      <c r="B14" s="2"/>
      <c r="C14" s="2"/>
      <c r="D14" s="2">
        <v>1</v>
      </c>
      <c r="E14" s="2"/>
      <c r="F14" s="2"/>
      <c r="G14" s="2">
        <v>1</v>
      </c>
      <c r="H14" s="2"/>
      <c r="I14" s="2"/>
      <c r="J14" s="2">
        <v>1</v>
      </c>
      <c r="L14" s="3">
        <f t="shared" si="0"/>
        <v>105</v>
      </c>
      <c r="M14" s="2">
        <v>105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EX1</vt:lpstr>
      <vt:lpstr>EX2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2026-10-07T22:28:28Z</dcterms:created>
  <dcterms:modified xsi:type="dcterms:W3CDTF">2026-10-07T23:19:13Z</dcterms:modified>
</cp:coreProperties>
</file>