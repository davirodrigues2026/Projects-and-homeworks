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13_ncr:1_{88D97136-87B6-4738-96F8-C1C8AA175831}" xr6:coauthVersionLast="36" xr6:coauthVersionMax="36" xr10:uidLastSave="{00000000-0000-0000-0000-000000000000}"/>
  <bookViews>
    <workbookView xWindow="0" yWindow="0" windowWidth="28800" windowHeight="12105" activeTab="2" xr2:uid="{8D6C0FA3-C012-4463-B83B-7B6D56B3562A}"/>
  </bookViews>
  <sheets>
    <sheet name="EX1" sheetId="3" r:id="rId1"/>
    <sheet name="EX2" sheetId="1" r:id="rId2"/>
    <sheet name="EX3" sheetId="4" r:id="rId3"/>
  </sheets>
  <definedNames>
    <definedName name="solver_adj" localSheetId="0" hidden="1">'EX1'!$B$3:$G$3</definedName>
    <definedName name="solver_adj" localSheetId="1" hidden="1">'EX2'!$B$5:$J$5</definedName>
    <definedName name="solver_adj" localSheetId="2" hidden="1">'EX3'!$B$5:$D$9</definedName>
    <definedName name="solver_cvg" localSheetId="0" hidden="1">0.0001</definedName>
    <definedName name="solver_cvg" localSheetId="1" hidden="1">0.0001</definedName>
    <definedName name="solver_cvg" localSheetId="2" hidden="1">0.0001</definedName>
    <definedName name="solver_drv" localSheetId="0" hidden="1">1</definedName>
    <definedName name="solver_drv" localSheetId="1" hidden="1">1</definedName>
    <definedName name="solver_drv" localSheetId="2" hidden="1">1</definedName>
    <definedName name="solver_eng" localSheetId="0" hidden="1">2</definedName>
    <definedName name="solver_eng" localSheetId="1" hidden="1">2</definedName>
    <definedName name="solver_eng" localSheetId="2" hidden="1">2</definedName>
    <definedName name="solver_est" localSheetId="0" hidden="1">1</definedName>
    <definedName name="solver_est" localSheetId="1" hidden="1">1</definedName>
    <definedName name="solver_est" localSheetId="2" hidden="1">1</definedName>
    <definedName name="solver_itr" localSheetId="0" hidden="1">2147483647</definedName>
    <definedName name="solver_itr" localSheetId="1" hidden="1">2147483647</definedName>
    <definedName name="solver_itr" localSheetId="2" hidden="1">2147483647</definedName>
    <definedName name="solver_lhs1" localSheetId="0" hidden="1">'EX1'!$I$7:$I$11</definedName>
    <definedName name="solver_lhs1" localSheetId="1" hidden="1">'EX2'!$L$9:$L$14</definedName>
    <definedName name="solver_lhs1" localSheetId="2" hidden="1">'EX3'!$F$27:$F$31</definedName>
    <definedName name="solver_lhs2" localSheetId="2" hidden="1">'EX3'!$F$32:$F$34</definedName>
    <definedName name="solver_mip" localSheetId="0" hidden="1">2147483647</definedName>
    <definedName name="solver_mip" localSheetId="1" hidden="1">2147483647</definedName>
    <definedName name="solver_mip" localSheetId="2" hidden="1">2147483647</definedName>
    <definedName name="solver_mni" localSheetId="0" hidden="1">30</definedName>
    <definedName name="solver_mni" localSheetId="1" hidden="1">30</definedName>
    <definedName name="solver_mni" localSheetId="2" hidden="1">30</definedName>
    <definedName name="solver_mrt" localSheetId="0" hidden="1">0.075</definedName>
    <definedName name="solver_mrt" localSheetId="1" hidden="1">0.075</definedName>
    <definedName name="solver_mrt" localSheetId="2" hidden="1">0.075</definedName>
    <definedName name="solver_msl" localSheetId="0" hidden="1">2</definedName>
    <definedName name="solver_msl" localSheetId="1" hidden="1">2</definedName>
    <definedName name="solver_msl" localSheetId="2" hidden="1">2</definedName>
    <definedName name="solver_neg" localSheetId="0" hidden="1">1</definedName>
    <definedName name="solver_neg" localSheetId="1" hidden="1">1</definedName>
    <definedName name="solver_neg" localSheetId="2" hidden="1">1</definedName>
    <definedName name="solver_nod" localSheetId="0" hidden="1">2147483647</definedName>
    <definedName name="solver_nod" localSheetId="1" hidden="1">2147483647</definedName>
    <definedName name="solver_nod" localSheetId="2" hidden="1">2147483647</definedName>
    <definedName name="solver_num" localSheetId="0" hidden="1">1</definedName>
    <definedName name="solver_num" localSheetId="1" hidden="1">1</definedName>
    <definedName name="solver_num" localSheetId="2" hidden="1">2</definedName>
    <definedName name="solver_nwt" localSheetId="0" hidden="1">1</definedName>
    <definedName name="solver_nwt" localSheetId="1" hidden="1">1</definedName>
    <definedName name="solver_nwt" localSheetId="2" hidden="1">1</definedName>
    <definedName name="solver_opt" localSheetId="0" hidden="1">'EX1'!$J$4</definedName>
    <definedName name="solver_opt" localSheetId="1" hidden="1">'EX2'!$M$6</definedName>
    <definedName name="solver_opt" localSheetId="2" hidden="1">'EX3'!$G$24</definedName>
    <definedName name="solver_pre" localSheetId="0" hidden="1">0.000001</definedName>
    <definedName name="solver_pre" localSheetId="1" hidden="1">0.000001</definedName>
    <definedName name="solver_pre" localSheetId="2" hidden="1">0.000001</definedName>
    <definedName name="solver_rbv" localSheetId="0" hidden="1">1</definedName>
    <definedName name="solver_rbv" localSheetId="1" hidden="1">1</definedName>
    <definedName name="solver_rbv" localSheetId="2" hidden="1">1</definedName>
    <definedName name="solver_rel1" localSheetId="0" hidden="1">2</definedName>
    <definedName name="solver_rel1" localSheetId="1" hidden="1">2</definedName>
    <definedName name="solver_rel1" localSheetId="2" hidden="1">1</definedName>
    <definedName name="solver_rel2" localSheetId="2" hidden="1">2</definedName>
    <definedName name="solver_rhs1" localSheetId="0" hidden="1">'EX1'!$J$7:$J$11</definedName>
    <definedName name="solver_rhs1" localSheetId="1" hidden="1">'EX2'!$M$9:$M$14</definedName>
    <definedName name="solver_rhs1" localSheetId="2" hidden="1">'EX3'!$G$27:$G$31</definedName>
    <definedName name="solver_rhs2" localSheetId="2" hidden="1">'EX3'!$G$32:$G$34</definedName>
    <definedName name="solver_rlx" localSheetId="0" hidden="1">2</definedName>
    <definedName name="solver_rlx" localSheetId="1" hidden="1">2</definedName>
    <definedName name="solver_rlx" localSheetId="2" hidden="1">2</definedName>
    <definedName name="solver_rsd" localSheetId="0" hidden="1">0</definedName>
    <definedName name="solver_rsd" localSheetId="1" hidden="1">0</definedName>
    <definedName name="solver_rsd" localSheetId="2" hidden="1">0</definedName>
    <definedName name="solver_scl" localSheetId="0" hidden="1">1</definedName>
    <definedName name="solver_scl" localSheetId="1" hidden="1">1</definedName>
    <definedName name="solver_scl" localSheetId="2" hidden="1">1</definedName>
    <definedName name="solver_sho" localSheetId="0" hidden="1">2</definedName>
    <definedName name="solver_sho" localSheetId="1" hidden="1">2</definedName>
    <definedName name="solver_sho" localSheetId="2" hidden="1">2</definedName>
    <definedName name="solver_ssz" localSheetId="0" hidden="1">100</definedName>
    <definedName name="solver_ssz" localSheetId="1" hidden="1">100</definedName>
    <definedName name="solver_ssz" localSheetId="2" hidden="1">100</definedName>
    <definedName name="solver_tim" localSheetId="0" hidden="1">2147483647</definedName>
    <definedName name="solver_tim" localSheetId="1" hidden="1">2147483647</definedName>
    <definedName name="solver_tim" localSheetId="2" hidden="1">2147483647</definedName>
    <definedName name="solver_tol" localSheetId="0" hidden="1">0.01</definedName>
    <definedName name="solver_tol" localSheetId="1" hidden="1">0.01</definedName>
    <definedName name="solver_tol" localSheetId="2" hidden="1">0.01</definedName>
    <definedName name="solver_typ" localSheetId="0" hidden="1">2</definedName>
    <definedName name="solver_typ" localSheetId="1" hidden="1">2</definedName>
    <definedName name="solver_typ" localSheetId="2" hidden="1">2</definedName>
    <definedName name="solver_val" localSheetId="0" hidden="1">0</definedName>
    <definedName name="solver_val" localSheetId="1" hidden="1">0</definedName>
    <definedName name="solver_val" localSheetId="2" hidden="1">0</definedName>
    <definedName name="solver_ver" localSheetId="0" hidden="1">3</definedName>
    <definedName name="solver_ver" localSheetId="1" hidden="1">3</definedName>
    <definedName name="solver_ver" localSheetId="2" hidden="1">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3" i="4" l="1"/>
  <c r="F34" i="4"/>
  <c r="F32" i="4"/>
  <c r="F28" i="4"/>
  <c r="F27" i="4"/>
  <c r="F29" i="4" l="1"/>
  <c r="F30" i="4"/>
  <c r="F31" i="4"/>
  <c r="G24" i="4"/>
  <c r="I10" i="3" l="1"/>
  <c r="I11" i="3"/>
  <c r="I9" i="3"/>
  <c r="I8" i="3"/>
  <c r="I7" i="3"/>
  <c r="L13" i="1"/>
  <c r="L14" i="1"/>
  <c r="L12" i="1"/>
  <c r="L11" i="1"/>
  <c r="L10" i="1"/>
  <c r="L9" i="1"/>
  <c r="M6" i="1"/>
  <c r="J4" i="3"/>
</calcChain>
</file>

<file path=xl/sharedStrings.xml><?xml version="1.0" encoding="utf-8"?>
<sst xmlns="http://schemas.openxmlformats.org/spreadsheetml/2006/main" count="65" uniqueCount="39">
  <si>
    <t>X11</t>
  </si>
  <si>
    <t>X12</t>
  </si>
  <si>
    <t>X13</t>
  </si>
  <si>
    <t>X21</t>
  </si>
  <si>
    <t>X22</t>
  </si>
  <si>
    <t>X23</t>
  </si>
  <si>
    <t>Envio</t>
  </si>
  <si>
    <t>Transporte</t>
  </si>
  <si>
    <t>Total:</t>
  </si>
  <si>
    <t>Restrições</t>
  </si>
  <si>
    <t>CA1</t>
  </si>
  <si>
    <t>CA2</t>
  </si>
  <si>
    <t>CD1</t>
  </si>
  <si>
    <t>CD2</t>
  </si>
  <si>
    <t>CD3</t>
  </si>
  <si>
    <t>Usado</t>
  </si>
  <si>
    <t>Disponivel</t>
  </si>
  <si>
    <t>Variáveis</t>
  </si>
  <si>
    <t>X31</t>
  </si>
  <si>
    <t>X32</t>
  </si>
  <si>
    <t>X33</t>
  </si>
  <si>
    <t>Custo</t>
  </si>
  <si>
    <t>Valor transporte</t>
  </si>
  <si>
    <t>DP1</t>
  </si>
  <si>
    <t>DP2</t>
  </si>
  <si>
    <t>DP3</t>
  </si>
  <si>
    <t>Dest1</t>
  </si>
  <si>
    <t>Dest2</t>
  </si>
  <si>
    <t>Dest3</t>
  </si>
  <si>
    <t>F1</t>
  </si>
  <si>
    <t>F2</t>
  </si>
  <si>
    <t>F3</t>
  </si>
  <si>
    <t>F4</t>
  </si>
  <si>
    <t>F5</t>
  </si>
  <si>
    <t>DF1</t>
  </si>
  <si>
    <t>DF2</t>
  </si>
  <si>
    <t>DF3</t>
  </si>
  <si>
    <t>DF4</t>
  </si>
  <si>
    <t>DF5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</si>
</sst>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2" borderId="1" xfId="0" applyFont="1" applyFill="1" applyBorder="1"/>
    <xf numFmtId="0" fontId="1" fillId="0" borderId="0" xfId="0" applyFont="1" applyBorder="1"/>
    <xf numFmtId="0" fontId="1" fillId="3" borderId="1" xfId="0" applyFont="1" applyFill="1" applyBorder="1"/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76199</xdr:colOff>
      <xdr:row>0</xdr:row>
      <xdr:rowOff>95250</xdr:rowOff>
    </xdr:from>
    <xdr:to>
      <xdr:col>13</xdr:col>
      <xdr:colOff>85725</xdr:colOff>
      <xdr:row>17</xdr:row>
      <xdr:rowOff>24466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5FBE972-4F61-4A2E-8235-8BD18335D5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48074" y="95250"/>
          <a:ext cx="5029201" cy="3005791"/>
        </a:xfrm>
        <a:prstGeom prst="rect">
          <a:avLst/>
        </a:prstGeom>
      </xdr:spPr>
    </xdr:pic>
    <xdr:clientData/>
  </xdr:twoCellAnchor>
  <xdr:twoCellAnchor editAs="oneCell">
    <xdr:from>
      <xdr:col>14</xdr:col>
      <xdr:colOff>19050</xdr:colOff>
      <xdr:row>1</xdr:row>
      <xdr:rowOff>126926</xdr:rowOff>
    </xdr:from>
    <xdr:to>
      <xdr:col>26</xdr:col>
      <xdr:colOff>554903</xdr:colOff>
      <xdr:row>15</xdr:row>
      <xdr:rowOff>19768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AFF3451-7BC5-488B-BB06-DD42584299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220200" y="307901"/>
          <a:ext cx="8279678" cy="2426492"/>
        </a:xfrm>
        <a:prstGeom prst="rect">
          <a:avLst/>
        </a:prstGeom>
      </xdr:spPr>
    </xdr:pic>
    <xdr:clientData/>
  </xdr:twoCellAnchor>
  <xdr:twoCellAnchor editAs="oneCell">
    <xdr:from>
      <xdr:col>14</xdr:col>
      <xdr:colOff>19049</xdr:colOff>
      <xdr:row>17</xdr:row>
      <xdr:rowOff>162796</xdr:rowOff>
    </xdr:from>
    <xdr:to>
      <xdr:col>26</xdr:col>
      <xdr:colOff>561923</xdr:colOff>
      <xdr:row>31</xdr:row>
      <xdr:rowOff>66675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FADEC77D-9E03-46D5-A61B-5E06C6285E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220199" y="3239371"/>
          <a:ext cx="8286699" cy="2437529"/>
        </a:xfrm>
        <a:prstGeom prst="rect">
          <a:avLst/>
        </a:prstGeom>
      </xdr:spPr>
    </xdr:pic>
    <xdr:clientData/>
  </xdr:twoCellAnchor>
  <xdr:twoCellAnchor>
    <xdr:from>
      <xdr:col>14</xdr:col>
      <xdr:colOff>552450</xdr:colOff>
      <xdr:row>15</xdr:row>
      <xdr:rowOff>85725</xdr:rowOff>
    </xdr:from>
    <xdr:to>
      <xdr:col>15</xdr:col>
      <xdr:colOff>304800</xdr:colOff>
      <xdr:row>17</xdr:row>
      <xdr:rowOff>47625</xdr:rowOff>
    </xdr:to>
    <xdr:sp macro="" textlink="">
      <xdr:nvSpPr>
        <xdr:cNvPr id="5" name="Seta: para Baixo 4">
          <a:extLst>
            <a:ext uri="{FF2B5EF4-FFF2-40B4-BE49-F238E27FC236}">
              <a16:creationId xmlns:a16="http://schemas.microsoft.com/office/drawing/2014/main" id="{46801FFE-4781-49E5-99E6-F6E62052FA5D}"/>
            </a:ext>
          </a:extLst>
        </xdr:cNvPr>
        <xdr:cNvSpPr/>
      </xdr:nvSpPr>
      <xdr:spPr>
        <a:xfrm>
          <a:off x="9753600" y="2800350"/>
          <a:ext cx="361950" cy="32385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2A58C-75C5-4FAB-AB81-0A5C76C1B4FA}">
  <dimension ref="A2:J11"/>
  <sheetViews>
    <sheetView showGridLines="0" workbookViewId="0">
      <selection activeCell="B40" sqref="B40"/>
    </sheetView>
  </sheetViews>
  <sheetFormatPr defaultRowHeight="14.25" x14ac:dyDescent="0.2"/>
  <cols>
    <col min="1" max="1" width="11.5703125" style="1" bestFit="1" customWidth="1"/>
    <col min="2" max="9" width="9.140625" style="1"/>
    <col min="10" max="10" width="11.28515625" style="1" bestFit="1" customWidth="1"/>
    <col min="11" max="16384" width="9.140625" style="1"/>
  </cols>
  <sheetData>
    <row r="2" spans="1:10" x14ac:dyDescent="0.2">
      <c r="A2" s="2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</row>
    <row r="3" spans="1:10" x14ac:dyDescent="0.2">
      <c r="A3" s="2" t="s">
        <v>6</v>
      </c>
      <c r="B3" s="3">
        <v>0</v>
      </c>
      <c r="C3" s="3">
        <v>5</v>
      </c>
      <c r="D3" s="3">
        <v>10</v>
      </c>
      <c r="E3" s="3">
        <v>20</v>
      </c>
      <c r="F3" s="3">
        <v>5</v>
      </c>
      <c r="G3" s="3">
        <v>0</v>
      </c>
    </row>
    <row r="4" spans="1:10" x14ac:dyDescent="0.2">
      <c r="A4" s="2" t="s">
        <v>7</v>
      </c>
      <c r="B4" s="2">
        <v>10</v>
      </c>
      <c r="C4" s="2">
        <v>3</v>
      </c>
      <c r="D4" s="2">
        <v>5</v>
      </c>
      <c r="E4" s="2">
        <v>12</v>
      </c>
      <c r="F4" s="2">
        <v>7</v>
      </c>
      <c r="G4" s="2">
        <v>9</v>
      </c>
      <c r="I4" s="2" t="s">
        <v>8</v>
      </c>
      <c r="J4" s="3">
        <f>SUMPRODUCT(B3:G3,B4:G4)</f>
        <v>340</v>
      </c>
    </row>
    <row r="6" spans="1:10" x14ac:dyDescent="0.2">
      <c r="A6" s="1" t="s">
        <v>9</v>
      </c>
      <c r="I6" s="2" t="s">
        <v>15</v>
      </c>
      <c r="J6" s="2" t="s">
        <v>16</v>
      </c>
    </row>
    <row r="7" spans="1:10" x14ac:dyDescent="0.2">
      <c r="A7" s="2" t="s">
        <v>10</v>
      </c>
      <c r="B7" s="2">
        <v>1</v>
      </c>
      <c r="C7" s="2">
        <v>1</v>
      </c>
      <c r="D7" s="2">
        <v>1</v>
      </c>
      <c r="E7" s="2"/>
      <c r="F7" s="2"/>
      <c r="G7" s="2"/>
      <c r="I7" s="3">
        <f>SUMPRODUCT(B3:D3,B7:D7)</f>
        <v>15</v>
      </c>
      <c r="J7" s="2">
        <v>15</v>
      </c>
    </row>
    <row r="8" spans="1:10" x14ac:dyDescent="0.2">
      <c r="A8" s="2" t="s">
        <v>11</v>
      </c>
      <c r="B8" s="2"/>
      <c r="C8" s="2"/>
      <c r="D8" s="2"/>
      <c r="E8" s="2">
        <v>1</v>
      </c>
      <c r="F8" s="2">
        <v>1</v>
      </c>
      <c r="G8" s="2">
        <v>1</v>
      </c>
      <c r="I8" s="3">
        <f>SUMPRODUCT(E3:G3,E8:G8)</f>
        <v>25</v>
      </c>
      <c r="J8" s="2">
        <v>25</v>
      </c>
    </row>
    <row r="9" spans="1:10" x14ac:dyDescent="0.2">
      <c r="A9" s="2" t="s">
        <v>12</v>
      </c>
      <c r="B9" s="2">
        <v>1</v>
      </c>
      <c r="C9" s="2"/>
      <c r="D9" s="2"/>
      <c r="E9" s="2">
        <v>1</v>
      </c>
      <c r="F9" s="2"/>
      <c r="G9" s="2"/>
      <c r="I9" s="3">
        <f>SUMPRODUCT($B$3:$G$3,B9:G9)</f>
        <v>20</v>
      </c>
      <c r="J9" s="2">
        <v>20</v>
      </c>
    </row>
    <row r="10" spans="1:10" x14ac:dyDescent="0.2">
      <c r="A10" s="2" t="s">
        <v>13</v>
      </c>
      <c r="B10" s="2"/>
      <c r="C10" s="2">
        <v>1</v>
      </c>
      <c r="D10" s="2"/>
      <c r="E10" s="2"/>
      <c r="F10" s="2">
        <v>1</v>
      </c>
      <c r="G10" s="2"/>
      <c r="I10" s="3">
        <f t="shared" ref="I10:I11" si="0">SUMPRODUCT($B$3:$G$3,B10:G10)</f>
        <v>10</v>
      </c>
      <c r="J10" s="2">
        <v>10</v>
      </c>
    </row>
    <row r="11" spans="1:10" x14ac:dyDescent="0.2">
      <c r="A11" s="2" t="s">
        <v>14</v>
      </c>
      <c r="B11" s="2"/>
      <c r="C11" s="2"/>
      <c r="D11" s="2">
        <v>1</v>
      </c>
      <c r="E11" s="2"/>
      <c r="F11" s="2"/>
      <c r="G11" s="2">
        <v>1</v>
      </c>
      <c r="I11" s="3">
        <f t="shared" si="0"/>
        <v>10</v>
      </c>
      <c r="J11" s="2">
        <v>10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FCC92-3EB1-4211-BE37-FCC0D89C2A94}">
  <dimension ref="A3:M14"/>
  <sheetViews>
    <sheetView showGridLines="0" workbookViewId="0">
      <selection activeCell="A40" sqref="A40"/>
    </sheetView>
  </sheetViews>
  <sheetFormatPr defaultRowHeight="14.25" x14ac:dyDescent="0.2"/>
  <cols>
    <col min="1" max="1" width="17" style="1" bestFit="1" customWidth="1"/>
    <col min="2" max="12" width="9.140625" style="1"/>
    <col min="13" max="13" width="11.28515625" style="1" bestFit="1" customWidth="1"/>
    <col min="14" max="16384" width="9.140625" style="1"/>
  </cols>
  <sheetData>
    <row r="3" spans="1:13" x14ac:dyDescent="0.2">
      <c r="A3" s="1" t="s">
        <v>17</v>
      </c>
    </row>
    <row r="4" spans="1:13" x14ac:dyDescent="0.2">
      <c r="A4" s="2"/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18</v>
      </c>
      <c r="I4" s="2" t="s">
        <v>19</v>
      </c>
      <c r="J4" s="2" t="s">
        <v>20</v>
      </c>
    </row>
    <row r="5" spans="1:13" x14ac:dyDescent="0.2">
      <c r="A5" s="2" t="s">
        <v>21</v>
      </c>
      <c r="B5" s="3">
        <v>0</v>
      </c>
      <c r="C5" s="3">
        <v>0</v>
      </c>
      <c r="D5" s="3">
        <v>57</v>
      </c>
      <c r="E5" s="3">
        <v>41</v>
      </c>
      <c r="F5" s="3">
        <v>0</v>
      </c>
      <c r="G5" s="3">
        <v>35</v>
      </c>
      <c r="H5" s="3">
        <v>0</v>
      </c>
      <c r="I5" s="3">
        <v>80</v>
      </c>
      <c r="J5" s="3">
        <v>13</v>
      </c>
    </row>
    <row r="6" spans="1:13" x14ac:dyDescent="0.2">
      <c r="A6" s="2" t="s">
        <v>22</v>
      </c>
      <c r="B6" s="2">
        <v>7</v>
      </c>
      <c r="C6" s="2">
        <v>8</v>
      </c>
      <c r="D6" s="2">
        <v>4</v>
      </c>
      <c r="E6" s="2">
        <v>5</v>
      </c>
      <c r="F6" s="2">
        <v>6</v>
      </c>
      <c r="G6" s="2">
        <v>3</v>
      </c>
      <c r="H6" s="2">
        <v>6</v>
      </c>
      <c r="I6" s="2">
        <v>5</v>
      </c>
      <c r="J6" s="2">
        <v>4</v>
      </c>
      <c r="L6" s="2" t="s">
        <v>8</v>
      </c>
      <c r="M6" s="3">
        <f>SUMPRODUCT(B5:J5,B6:J6)</f>
        <v>990</v>
      </c>
    </row>
    <row r="8" spans="1:13" x14ac:dyDescent="0.2">
      <c r="A8" s="1" t="s">
        <v>9</v>
      </c>
      <c r="L8" s="2" t="s">
        <v>15</v>
      </c>
      <c r="M8" s="2" t="s">
        <v>16</v>
      </c>
    </row>
    <row r="9" spans="1:13" x14ac:dyDescent="0.2">
      <c r="A9" s="2" t="s">
        <v>23</v>
      </c>
      <c r="B9" s="2">
        <v>1</v>
      </c>
      <c r="C9" s="2">
        <v>1</v>
      </c>
      <c r="D9" s="2">
        <v>1</v>
      </c>
      <c r="E9" s="2"/>
      <c r="F9" s="2"/>
      <c r="G9" s="2"/>
      <c r="H9" s="2"/>
      <c r="I9" s="2"/>
      <c r="J9" s="2"/>
      <c r="L9" s="3">
        <f>SUMPRODUCT($B$5:$D$5,B9:D9)</f>
        <v>57</v>
      </c>
      <c r="M9" s="2">
        <v>57</v>
      </c>
    </row>
    <row r="10" spans="1:13" x14ac:dyDescent="0.2">
      <c r="A10" s="2" t="s">
        <v>24</v>
      </c>
      <c r="B10" s="2"/>
      <c r="C10" s="2"/>
      <c r="D10" s="2"/>
      <c r="E10" s="2">
        <v>1</v>
      </c>
      <c r="F10" s="2">
        <v>1</v>
      </c>
      <c r="G10" s="2">
        <v>1</v>
      </c>
      <c r="H10" s="2"/>
      <c r="I10" s="2"/>
      <c r="J10" s="2"/>
      <c r="L10" s="3">
        <f>SUMPRODUCT($E$5:$G$5,E10:G10)</f>
        <v>76</v>
      </c>
      <c r="M10" s="2">
        <v>76</v>
      </c>
    </row>
    <row r="11" spans="1:13" x14ac:dyDescent="0.2">
      <c r="A11" s="2" t="s">
        <v>25</v>
      </c>
      <c r="B11" s="2"/>
      <c r="C11" s="2"/>
      <c r="D11" s="2"/>
      <c r="E11" s="2"/>
      <c r="F11" s="2"/>
      <c r="G11" s="2"/>
      <c r="H11" s="2">
        <v>1</v>
      </c>
      <c r="I11" s="2">
        <v>1</v>
      </c>
      <c r="J11" s="2">
        <v>1</v>
      </c>
      <c r="L11" s="3">
        <f>SUMPRODUCT($H$5:$J$5,H11:J11)</f>
        <v>93</v>
      </c>
      <c r="M11" s="2">
        <v>93</v>
      </c>
    </row>
    <row r="12" spans="1:13" x14ac:dyDescent="0.2">
      <c r="A12" s="2" t="s">
        <v>26</v>
      </c>
      <c r="B12" s="2">
        <v>1</v>
      </c>
      <c r="C12" s="2"/>
      <c r="D12" s="2"/>
      <c r="E12" s="2">
        <v>1</v>
      </c>
      <c r="F12" s="2"/>
      <c r="G12" s="2"/>
      <c r="H12" s="2">
        <v>1</v>
      </c>
      <c r="I12" s="2"/>
      <c r="J12" s="2"/>
      <c r="L12" s="3">
        <f>SUMPRODUCT($B$5:$J$5,B12:J12)</f>
        <v>41</v>
      </c>
      <c r="M12" s="2">
        <v>41</v>
      </c>
    </row>
    <row r="13" spans="1:13" x14ac:dyDescent="0.2">
      <c r="A13" s="2" t="s">
        <v>27</v>
      </c>
      <c r="B13" s="2"/>
      <c r="C13" s="2">
        <v>1</v>
      </c>
      <c r="D13" s="2"/>
      <c r="E13" s="2"/>
      <c r="F13" s="2">
        <v>1</v>
      </c>
      <c r="G13" s="2"/>
      <c r="H13" s="2"/>
      <c r="I13" s="2">
        <v>1</v>
      </c>
      <c r="J13" s="2"/>
      <c r="L13" s="3">
        <f t="shared" ref="L13:L14" si="0">SUMPRODUCT($B$5:$J$5,B13:J13)</f>
        <v>80</v>
      </c>
      <c r="M13" s="2">
        <v>80</v>
      </c>
    </row>
    <row r="14" spans="1:13" x14ac:dyDescent="0.2">
      <c r="A14" s="2" t="s">
        <v>28</v>
      </c>
      <c r="B14" s="2"/>
      <c r="C14" s="2"/>
      <c r="D14" s="2">
        <v>1</v>
      </c>
      <c r="E14" s="2"/>
      <c r="F14" s="2"/>
      <c r="G14" s="2">
        <v>1</v>
      </c>
      <c r="H14" s="2"/>
      <c r="I14" s="2"/>
      <c r="J14" s="2">
        <v>1</v>
      </c>
      <c r="L14" s="3">
        <f t="shared" si="0"/>
        <v>105</v>
      </c>
      <c r="M14" s="2">
        <v>105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65FD0-938B-4E63-9CB2-740FC1892FF5}">
  <dimension ref="A3:N34"/>
  <sheetViews>
    <sheetView showGridLines="0" tabSelected="1" workbookViewId="0">
      <selection activeCell="I26" sqref="I26"/>
    </sheetView>
  </sheetViews>
  <sheetFormatPr defaultRowHeight="14.25" x14ac:dyDescent="0.2"/>
  <cols>
    <col min="1" max="1" width="17" style="1" bestFit="1" customWidth="1"/>
    <col min="2" max="6" width="9.140625" style="1"/>
    <col min="7" max="7" width="11.28515625" style="1" bestFit="1" customWidth="1"/>
    <col min="8" max="15" width="9.140625" style="1"/>
    <col min="16" max="18" width="11.28515625" style="1" bestFit="1" customWidth="1"/>
    <col min="19" max="16384" width="9.140625" style="1"/>
  </cols>
  <sheetData>
    <row r="3" spans="1:14" x14ac:dyDescent="0.2">
      <c r="A3" s="6" t="s">
        <v>17</v>
      </c>
      <c r="B3" s="6"/>
      <c r="C3" s="6"/>
      <c r="D3" s="6"/>
    </row>
    <row r="4" spans="1:14" x14ac:dyDescent="0.2">
      <c r="A4" s="2"/>
      <c r="B4" s="2" t="s">
        <v>12</v>
      </c>
      <c r="C4" s="2" t="s">
        <v>13</v>
      </c>
      <c r="D4" s="2" t="s">
        <v>14</v>
      </c>
      <c r="K4" s="4"/>
      <c r="N4" s="4"/>
    </row>
    <row r="5" spans="1:14" x14ac:dyDescent="0.2">
      <c r="A5" s="2" t="s">
        <v>29</v>
      </c>
      <c r="B5" s="5">
        <v>0</v>
      </c>
      <c r="C5" s="5">
        <v>0</v>
      </c>
      <c r="D5" s="5">
        <v>1000</v>
      </c>
      <c r="K5" s="4"/>
      <c r="N5" s="4"/>
    </row>
    <row r="6" spans="1:14" x14ac:dyDescent="0.2">
      <c r="A6" s="2" t="s">
        <v>30</v>
      </c>
      <c r="B6" s="5">
        <v>0</v>
      </c>
      <c r="C6" s="5">
        <v>0</v>
      </c>
      <c r="D6" s="5">
        <v>3000</v>
      </c>
    </row>
    <row r="7" spans="1:14" x14ac:dyDescent="0.2">
      <c r="A7" s="2" t="s">
        <v>31</v>
      </c>
      <c r="B7" s="5">
        <v>0</v>
      </c>
      <c r="C7" s="5">
        <v>0</v>
      </c>
      <c r="D7" s="5">
        <v>0</v>
      </c>
    </row>
    <row r="8" spans="1:14" x14ac:dyDescent="0.2">
      <c r="A8" s="2" t="s">
        <v>32</v>
      </c>
      <c r="B8" s="5">
        <v>3000</v>
      </c>
      <c r="C8" s="5">
        <v>0</v>
      </c>
      <c r="D8" s="5">
        <v>0</v>
      </c>
    </row>
    <row r="9" spans="1:14" x14ac:dyDescent="0.2">
      <c r="A9" s="2" t="s">
        <v>33</v>
      </c>
      <c r="B9" s="5">
        <v>2000</v>
      </c>
      <c r="C9" s="5">
        <v>3000</v>
      </c>
      <c r="D9" s="5">
        <v>0</v>
      </c>
    </row>
    <row r="10" spans="1:14" x14ac:dyDescent="0.2">
      <c r="A10" s="2" t="s">
        <v>34</v>
      </c>
      <c r="B10" s="2">
        <v>90</v>
      </c>
      <c r="C10" s="2">
        <v>62</v>
      </c>
      <c r="D10" s="2">
        <v>76</v>
      </c>
    </row>
    <row r="11" spans="1:14" x14ac:dyDescent="0.2">
      <c r="A11" s="2" t="s">
        <v>35</v>
      </c>
      <c r="B11" s="2">
        <v>82</v>
      </c>
      <c r="C11" s="2">
        <v>58</v>
      </c>
      <c r="D11" s="2">
        <v>70</v>
      </c>
    </row>
    <row r="12" spans="1:14" x14ac:dyDescent="0.2">
      <c r="A12" s="2" t="s">
        <v>36</v>
      </c>
      <c r="B12" s="2">
        <v>92</v>
      </c>
      <c r="C12" s="2">
        <v>64</v>
      </c>
      <c r="D12" s="2">
        <v>80</v>
      </c>
    </row>
    <row r="13" spans="1:14" x14ac:dyDescent="0.2">
      <c r="A13" s="2" t="s">
        <v>37</v>
      </c>
      <c r="B13" s="2">
        <v>84</v>
      </c>
      <c r="C13" s="2">
        <v>56</v>
      </c>
      <c r="D13" s="2">
        <v>0</v>
      </c>
    </row>
    <row r="14" spans="1:14" x14ac:dyDescent="0.2">
      <c r="A14" s="2" t="s">
        <v>38</v>
      </c>
      <c r="B14" s="2">
        <v>86</v>
      </c>
      <c r="C14" s="2">
        <v>58</v>
      </c>
      <c r="D14" s="2">
        <v>0</v>
      </c>
    </row>
    <row r="21" spans="1:14" x14ac:dyDescent="0.2">
      <c r="K21" s="4"/>
      <c r="N21" s="4"/>
    </row>
    <row r="24" spans="1:14" x14ac:dyDescent="0.2">
      <c r="F24" s="2" t="s">
        <v>8</v>
      </c>
      <c r="G24" s="3">
        <f>SUMPRODUCT(B5:D9,B10:D14)</f>
        <v>884000</v>
      </c>
    </row>
    <row r="26" spans="1:14" x14ac:dyDescent="0.2">
      <c r="A26" s="6" t="s">
        <v>9</v>
      </c>
      <c r="B26" s="6"/>
      <c r="C26" s="6"/>
      <c r="D26" s="6"/>
      <c r="F26" s="2" t="s">
        <v>15</v>
      </c>
      <c r="G26" s="2" t="s">
        <v>16</v>
      </c>
    </row>
    <row r="27" spans="1:14" x14ac:dyDescent="0.2">
      <c r="A27" s="2" t="s">
        <v>29</v>
      </c>
      <c r="B27" s="2">
        <v>1</v>
      </c>
      <c r="C27" s="2">
        <v>1</v>
      </c>
      <c r="D27" s="2">
        <v>1</v>
      </c>
      <c r="F27" s="3">
        <f>SUM(B5:D5)</f>
        <v>1000</v>
      </c>
      <c r="G27" s="2">
        <v>2000</v>
      </c>
    </row>
    <row r="28" spans="1:14" x14ac:dyDescent="0.2">
      <c r="A28" s="2" t="s">
        <v>30</v>
      </c>
      <c r="B28" s="2">
        <v>1</v>
      </c>
      <c r="C28" s="2">
        <v>1</v>
      </c>
      <c r="D28" s="2">
        <v>1</v>
      </c>
      <c r="F28" s="3">
        <f>SUM(B6:D6)</f>
        <v>3000</v>
      </c>
      <c r="G28" s="2">
        <v>3000</v>
      </c>
    </row>
    <row r="29" spans="1:14" x14ac:dyDescent="0.2">
      <c r="A29" s="2" t="s">
        <v>31</v>
      </c>
      <c r="B29" s="2">
        <v>1</v>
      </c>
      <c r="C29" s="2">
        <v>1</v>
      </c>
      <c r="D29" s="2">
        <v>1</v>
      </c>
      <c r="F29" s="3">
        <f t="shared" ref="F28:F31" si="0">SUM(B7:D7)</f>
        <v>0</v>
      </c>
      <c r="G29" s="2">
        <v>2000</v>
      </c>
    </row>
    <row r="30" spans="1:14" x14ac:dyDescent="0.2">
      <c r="A30" s="2" t="s">
        <v>32</v>
      </c>
      <c r="B30" s="2">
        <v>1</v>
      </c>
      <c r="C30" s="2">
        <v>1</v>
      </c>
      <c r="D30" s="2">
        <v>1</v>
      </c>
      <c r="F30" s="3">
        <f t="shared" si="0"/>
        <v>3000</v>
      </c>
      <c r="G30" s="2">
        <v>3000</v>
      </c>
    </row>
    <row r="31" spans="1:14" x14ac:dyDescent="0.2">
      <c r="A31" s="2" t="s">
        <v>33</v>
      </c>
      <c r="B31" s="2">
        <v>1</v>
      </c>
      <c r="C31" s="2">
        <v>1</v>
      </c>
      <c r="D31" s="2">
        <v>1</v>
      </c>
      <c r="F31" s="3">
        <f t="shared" si="0"/>
        <v>5000</v>
      </c>
      <c r="G31" s="2">
        <v>5000</v>
      </c>
    </row>
    <row r="32" spans="1:14" x14ac:dyDescent="0.2">
      <c r="A32" s="2" t="s">
        <v>12</v>
      </c>
      <c r="B32" s="2">
        <v>1</v>
      </c>
      <c r="C32" s="2">
        <v>1</v>
      </c>
      <c r="D32" s="2">
        <v>1</v>
      </c>
      <c r="F32" s="3">
        <f>SUM(B5:B9)</f>
        <v>5000</v>
      </c>
      <c r="G32" s="2">
        <v>5000</v>
      </c>
    </row>
    <row r="33" spans="1:7" x14ac:dyDescent="0.2">
      <c r="A33" s="2" t="s">
        <v>13</v>
      </c>
      <c r="B33" s="2">
        <v>1</v>
      </c>
      <c r="C33" s="2">
        <v>1</v>
      </c>
      <c r="D33" s="2">
        <v>1</v>
      </c>
      <c r="F33" s="3">
        <f>SUM(C5:C9)</f>
        <v>3000</v>
      </c>
      <c r="G33" s="2">
        <v>3000</v>
      </c>
    </row>
    <row r="34" spans="1:7" x14ac:dyDescent="0.2">
      <c r="A34" s="2" t="s">
        <v>14</v>
      </c>
      <c r="B34" s="2">
        <v>1</v>
      </c>
      <c r="C34" s="2">
        <v>1</v>
      </c>
      <c r="D34" s="2">
        <v>1</v>
      </c>
      <c r="F34" s="3">
        <f>SUM(D5:D7)</f>
        <v>4000</v>
      </c>
      <c r="G34" s="2">
        <v>4000</v>
      </c>
    </row>
  </sheetData>
  <mergeCells count="2">
    <mergeCell ref="A26:D26"/>
    <mergeCell ref="A3:D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EX1</vt:lpstr>
      <vt:lpstr>EX2</vt:lpstr>
      <vt:lpstr>EX3</vt:lpstr>
    </vt:vector>
  </TitlesOfParts>
  <Company>CPS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2026-10-07T22:28:28Z</dcterms:created>
  <dcterms:modified xsi:type="dcterms:W3CDTF">2026-10-21T22:27:14Z</dcterms:modified>
</cp:coreProperties>
</file>