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73BE0473-4CD5-4692-9C85-4EC5ABAAC59C}" xr6:coauthVersionLast="36" xr6:coauthVersionMax="36" xr10:uidLastSave="{00000000-0000-0000-0000-000000000000}"/>
  <bookViews>
    <workbookView xWindow="0" yWindow="0" windowWidth="28800" windowHeight="12105" activeTab="5" xr2:uid="{759A8800-CD47-4849-AA2E-61C2ECE26B63}"/>
  </bookViews>
  <sheets>
    <sheet name="A1 - Meias" sheetId="1" r:id="rId1"/>
    <sheet name="A2 - Empresa" sheetId="2" r:id="rId2"/>
    <sheet name="E1 - Capitão Caverna" sheetId="3" r:id="rId3"/>
    <sheet name="E2 - Empresa BETA" sheetId="4" r:id="rId4"/>
    <sheet name="E2- Min - Vitaminas" sheetId="5" r:id="rId5"/>
    <sheet name="E3 - Jardim" sheetId="7" r:id="rId6"/>
  </sheets>
  <definedNames>
    <definedName name="solver_adj" localSheetId="0" hidden="1">'A1 - Meias'!$B$3:$C$3</definedName>
    <definedName name="solver_adj" localSheetId="1" hidden="1">'A2 - Empresa'!$C$3:$E$3</definedName>
    <definedName name="solver_adj" localSheetId="2" hidden="1">'E1 - Capitão Caverna'!$C$3:$E$3</definedName>
    <definedName name="solver_adj" localSheetId="3" hidden="1">'E2 - Empresa BETA'!$C$3:$E$3</definedName>
    <definedName name="solver_adj" localSheetId="4" hidden="1">'E2- Min - Vitaminas'!$C$3:$D$3</definedName>
    <definedName name="solver_adj" localSheetId="5" hidden="1">'E3 - Jardim'!$C$3:$D$3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drv" localSheetId="0" hidden="1">2</definedName>
    <definedName name="solver_drv" localSheetId="1" hidden="1">2</definedName>
    <definedName name="solver_drv" localSheetId="2" hidden="1">2</definedName>
    <definedName name="solver_drv" localSheetId="3" hidden="1">2</definedName>
    <definedName name="solver_drv" localSheetId="4" hidden="1">2</definedName>
    <definedName name="solver_drv" localSheetId="5" hidden="1">2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ng" localSheetId="5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lhs1" localSheetId="0" hidden="1">'A1 - Meias'!$D$7</definedName>
    <definedName name="solver_lhs1" localSheetId="1" hidden="1">'A2 - Empresa'!$F$10</definedName>
    <definedName name="solver_lhs1" localSheetId="2" hidden="1">'E1 - Capitão Caverna'!$F$10</definedName>
    <definedName name="solver_lhs1" localSheetId="3" hidden="1">'E2 - Empresa BETA'!$F$8:$F$12</definedName>
    <definedName name="solver_lhs1" localSheetId="4" hidden="1">'E2- Min - Vitaminas'!$E$8:$E$9</definedName>
    <definedName name="solver_lhs1" localSheetId="5" hidden="1">'E3 - Jardim'!$E$8:$E$10</definedName>
    <definedName name="solver_lhs2" localSheetId="0" hidden="1">'A1 - Meias'!$D$8</definedName>
    <definedName name="solver_lhs2" localSheetId="1" hidden="1">'A2 - Empresa'!$F$8</definedName>
    <definedName name="solver_lhs2" localSheetId="2" hidden="1">'E1 - Capitão Caverna'!$F$10:$F$12</definedName>
    <definedName name="solver_lhs2" localSheetId="3" hidden="1">'E2 - Empresa BETA'!$F$10:$F$12</definedName>
    <definedName name="solver_lhs2" localSheetId="4" hidden="1">'E2- Min - Vitaminas'!#REF!</definedName>
    <definedName name="solver_lhs2" localSheetId="5" hidden="1">'E3 - Jardim'!#REF!</definedName>
    <definedName name="solver_lhs3" localSheetId="1" hidden="1">'A2 - Empresa'!$F$9</definedName>
    <definedName name="solver_lhs3" localSheetId="2" hidden="1">'E1 - Capitão Caverna'!$F$8</definedName>
    <definedName name="solver_lhs3" localSheetId="3" hidden="1">'E2 - Empresa BETA'!$F$8</definedName>
    <definedName name="solver_lhs3" localSheetId="4" hidden="1">'E2- Min - Vitaminas'!$E$8</definedName>
    <definedName name="solver_lhs3" localSheetId="5" hidden="1">'E3 - Jardim'!$E$8</definedName>
    <definedName name="solver_lhs4" localSheetId="2" hidden="1">'E1 - Capitão Caverna'!$F$9</definedName>
    <definedName name="solver_lhs4" localSheetId="3" hidden="1">'E2 - Empresa BETA'!$F$9</definedName>
    <definedName name="solver_lhs4" localSheetId="4" hidden="1">'E2- Min - Vitaminas'!$E$9</definedName>
    <definedName name="solver_lhs4" localSheetId="5" hidden="1">'E3 - Jardim'!$E$9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um" localSheetId="0" hidden="1">2</definedName>
    <definedName name="solver_num" localSheetId="1" hidden="1">3</definedName>
    <definedName name="solver_num" localSheetId="2" hidden="1">4</definedName>
    <definedName name="solver_num" localSheetId="3" hidden="1">1</definedName>
    <definedName name="solver_num" localSheetId="4" hidden="1">1</definedName>
    <definedName name="solver_num" localSheetId="5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opt" localSheetId="0" hidden="1">'A1 - Meias'!$D$4</definedName>
    <definedName name="solver_opt" localSheetId="1" hidden="1">'A2 - Empresa'!$C$5</definedName>
    <definedName name="solver_opt" localSheetId="2" hidden="1">'E1 - Capitão Caverna'!$C$5</definedName>
    <definedName name="solver_opt" localSheetId="3" hidden="1">'E2 - Empresa BETA'!$C$5</definedName>
    <definedName name="solver_opt" localSheetId="4" hidden="1">'E2- Min - Vitaminas'!$C$5</definedName>
    <definedName name="solver_opt" localSheetId="5" hidden="1">'E3 - Jardim'!$C$5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rbv" localSheetId="0" hidden="1">2</definedName>
    <definedName name="solver_rbv" localSheetId="1" hidden="1">2</definedName>
    <definedName name="solver_rbv" localSheetId="2" hidden="1">2</definedName>
    <definedName name="solver_rbv" localSheetId="3" hidden="1">2</definedName>
    <definedName name="solver_rbv" localSheetId="4" hidden="1">2</definedName>
    <definedName name="solver_rbv" localSheetId="5" hidden="1">2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" localSheetId="4" hidden="1">3</definedName>
    <definedName name="solver_rel1" localSheetId="5" hidden="1">3</definedName>
    <definedName name="solver_rel2" localSheetId="0" hidden="1">1</definedName>
    <definedName name="solver_rel2" localSheetId="1" hidden="1">1</definedName>
    <definedName name="solver_rel2" localSheetId="2" hidden="1">1</definedName>
    <definedName name="solver_rel2" localSheetId="3" hidden="1">1</definedName>
    <definedName name="solver_rel2" localSheetId="4" hidden="1">1</definedName>
    <definedName name="solver_rel2" localSheetId="5" hidden="1">1</definedName>
    <definedName name="solver_rel3" localSheetId="1" hidden="1">1</definedName>
    <definedName name="solver_rel3" localSheetId="2" hidden="1">1</definedName>
    <definedName name="solver_rel3" localSheetId="3" hidden="1">1</definedName>
    <definedName name="solver_rel3" localSheetId="4" hidden="1">1</definedName>
    <definedName name="solver_rel3" localSheetId="5" hidden="1">1</definedName>
    <definedName name="solver_rel4" localSheetId="2" hidden="1">1</definedName>
    <definedName name="solver_rel4" localSheetId="3" hidden="1">1</definedName>
    <definedName name="solver_rel4" localSheetId="4" hidden="1">1</definedName>
    <definedName name="solver_rel4" localSheetId="5" hidden="1">1</definedName>
    <definedName name="solver_rhs1" localSheetId="0" hidden="1">'A1 - Meias'!$E$7</definedName>
    <definedName name="solver_rhs1" localSheetId="1" hidden="1">'A2 - Empresa'!$G$10</definedName>
    <definedName name="solver_rhs1" localSheetId="2" hidden="1">'E1 - Capitão Caverna'!$G$10</definedName>
    <definedName name="solver_rhs1" localSheetId="3" hidden="1">'E2 - Empresa BETA'!$G$8:$G$12</definedName>
    <definedName name="solver_rhs1" localSheetId="4" hidden="1">'E2- Min - Vitaminas'!$F$8:$F$9</definedName>
    <definedName name="solver_rhs1" localSheetId="5" hidden="1">'E3 - Jardim'!$F$8:$F$10</definedName>
    <definedName name="solver_rhs2" localSheetId="0" hidden="1">'A1 - Meias'!$E$8</definedName>
    <definedName name="solver_rhs2" localSheetId="1" hidden="1">'A2 - Empresa'!$G$8</definedName>
    <definedName name="solver_rhs2" localSheetId="2" hidden="1">'E1 - Capitão Caverna'!$G$10:$G$12</definedName>
    <definedName name="solver_rhs2" localSheetId="3" hidden="1">'E2 - Empresa BETA'!$G$10:$G$12</definedName>
    <definedName name="solver_rhs2" localSheetId="4" hidden="1">'E2- Min - Vitaminas'!#REF!</definedName>
    <definedName name="solver_rhs2" localSheetId="5" hidden="1">'E3 - Jardim'!#REF!</definedName>
    <definedName name="solver_rhs3" localSheetId="1" hidden="1">'A2 - Empresa'!$G$9</definedName>
    <definedName name="solver_rhs3" localSheetId="2" hidden="1">'E1 - Capitão Caverna'!$G$8</definedName>
    <definedName name="solver_rhs3" localSheetId="3" hidden="1">'E2 - Empresa BETA'!$G$8</definedName>
    <definedName name="solver_rhs3" localSheetId="4" hidden="1">'E2- Min - Vitaminas'!$F$8</definedName>
    <definedName name="solver_rhs3" localSheetId="5" hidden="1">'E3 - Jardim'!$F$8</definedName>
    <definedName name="solver_rhs4" localSheetId="2" hidden="1">'E1 - Capitão Caverna'!$G$9</definedName>
    <definedName name="solver_rhs4" localSheetId="3" hidden="1">'E2 - Empresa BETA'!$G$9</definedName>
    <definedName name="solver_rhs4" localSheetId="4" hidden="1">'E2- Min - Vitaminas'!$F$9</definedName>
    <definedName name="solver_rhs4" localSheetId="5" hidden="1">'E3 - Jardim'!$F$9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scl" localSheetId="0" hidden="1">2</definedName>
    <definedName name="solver_scl" localSheetId="1" hidden="1">2</definedName>
    <definedName name="solver_scl" localSheetId="2" hidden="1">2</definedName>
    <definedName name="solver_scl" localSheetId="3" hidden="1">2</definedName>
    <definedName name="solver_scl" localSheetId="4" hidden="1">2</definedName>
    <definedName name="solver_scl" localSheetId="5" hidden="1">2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typ" localSheetId="4" hidden="1">2</definedName>
    <definedName name="solver_typ" localSheetId="5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7" l="1"/>
  <c r="E9" i="7"/>
  <c r="E8" i="7"/>
  <c r="C5" i="7"/>
  <c r="E9" i="5"/>
  <c r="E8" i="5"/>
  <c r="C5" i="5"/>
  <c r="F9" i="4"/>
  <c r="F10" i="4"/>
  <c r="F11" i="4"/>
  <c r="F12" i="4"/>
  <c r="F8" i="4"/>
  <c r="C5" i="4"/>
  <c r="C5" i="3"/>
  <c r="F11" i="3"/>
  <c r="F12" i="3"/>
  <c r="F10" i="3"/>
  <c r="F9" i="3"/>
  <c r="F8" i="3"/>
  <c r="F9" i="2" l="1"/>
  <c r="F10" i="2"/>
  <c r="F8" i="2"/>
  <c r="D7" i="1"/>
  <c r="C5" i="2"/>
  <c r="D8" i="1"/>
  <c r="D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B3" authorId="0" shapeId="0" xr:uid="{E6CE8D19-EAD2-4C09-A685-BE8DA2F53928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B4" authorId="0" shapeId="0" xr:uid="{5745BA8F-1459-40ED-BD2C-3B7DCC70424F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F7" authorId="0" shapeId="0" xr:uid="{1828AA15-BA42-41DD-AF8A-DA8CF1CF7419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  <comment ref="F10" authorId="0" shapeId="0" xr:uid="{8C571EEC-C710-4CC5-88E5-9F0DB3C4E3EC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No enunciado, quando é questionado qual é a sessão ociosa, temos como resposta a S3, pois é a única que está com horas a menos.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B3" authorId="0" shapeId="0" xr:uid="{DC768158-689B-4668-9BD9-7781CB65843F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B4" authorId="0" shapeId="0" xr:uid="{025A685D-AACF-45E1-99E6-04AC986086BB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F7" authorId="0" shapeId="0" xr:uid="{CB27AB23-4256-4138-ADA0-FE84146C3C74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  <comment ref="F10" authorId="0" shapeId="0" xr:uid="{835CB6E3-5033-4081-A4E7-607E9A8287C8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No enunciado, quando é questionado qual é a sessão ociosa, temos como resposta a S3, pois é a única que está com horas a menos.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B3" authorId="0" shapeId="0" xr:uid="{EA42FF7E-067E-400E-824B-1D6DDC0715A8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B4" authorId="0" shapeId="0" xr:uid="{7B2E4D00-F6CC-475E-8247-3C0CB9A59644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F7" authorId="0" shapeId="0" xr:uid="{3C2A41F6-EF0B-4ED6-8124-A90AE5B5F77C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  <comment ref="F10" authorId="0" shapeId="0" xr:uid="{DAE3C545-40A1-4529-8E69-5E7964D647EE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No enunciado, quando é questionado qual é a sessão ociosa, temos como resposta a S3, pois é a única que está com horas a menos.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B3" authorId="0" shapeId="0" xr:uid="{0030DE91-2D7C-4066-9426-AC2A4A76B076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B4" authorId="0" shapeId="0" xr:uid="{CAE2FDD9-A690-4392-8A34-76FFFB87B0DC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7" authorId="0" shapeId="0" xr:uid="{FA57B944-58DD-494C-AEF8-0CA2800F2E0C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Fatec</author>
  </authors>
  <commentList>
    <comment ref="B3" authorId="0" shapeId="0" xr:uid="{BD01A8F3-10D3-4485-9563-1380F29F4808}">
      <text>
        <r>
          <rPr>
            <b/>
            <sz val="9"/>
            <color indexed="81"/>
            <rFont val="Segoe UI"/>
            <family val="2"/>
          </rPr>
          <t xml:space="preserve">Fatec:
</t>
        </r>
        <r>
          <rPr>
            <sz val="9"/>
            <color indexed="81"/>
            <rFont val="Segoe UI"/>
            <family val="2"/>
          </rPr>
          <t>O valor das variáveis será preenchido pelo Solver. O Solver é acessado na aba: Dados &gt; Solver.</t>
        </r>
      </text>
    </comment>
    <comment ref="B4" authorId="0" shapeId="0" xr:uid="{37B206F7-D3E0-48A2-A17E-8EFFC5C6252B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Informar lucro de cada variável.</t>
        </r>
      </text>
    </comment>
    <comment ref="E7" authorId="0" shapeId="0" xr:uid="{D2910504-1B40-4D65-ADEE-35790FCC29F7}">
      <text>
        <r>
          <rPr>
            <b/>
            <sz val="9"/>
            <color indexed="81"/>
            <rFont val="Segoe UI"/>
            <family val="2"/>
          </rPr>
          <t>Fatec:</t>
        </r>
        <r>
          <rPr>
            <sz val="9"/>
            <color indexed="81"/>
            <rFont val="Segoe UI"/>
            <family val="2"/>
          </rPr>
          <t xml:space="preserve">
Restrição 1 * Variável 1 + Restrição 2 * Variável 2 + Restrição 3 * Variável 3.
Linhas seguintes: Travar as variáveis e seguir com as restrições 2,3,4...</t>
        </r>
      </text>
    </comment>
  </commentList>
</comments>
</file>

<file path=xl/sharedStrings.xml><?xml version="1.0" encoding="utf-8"?>
<sst xmlns="http://schemas.openxmlformats.org/spreadsheetml/2006/main" count="107" uniqueCount="43">
  <si>
    <t>Vendedor de meias</t>
  </si>
  <si>
    <t>A</t>
  </si>
  <si>
    <t>B</t>
  </si>
  <si>
    <t>Quantidade:</t>
  </si>
  <si>
    <t>Seguir passo a passo do slide: Etapas na implementação do problema em uma planilha</t>
  </si>
  <si>
    <t>Lucro:</t>
  </si>
  <si>
    <t>Função objetivo:</t>
  </si>
  <si>
    <t>Restrições</t>
  </si>
  <si>
    <t>Restrições:</t>
  </si>
  <si>
    <t>Algodão</t>
  </si>
  <si>
    <t>Lã</t>
  </si>
  <si>
    <t>Usado</t>
  </si>
  <si>
    <t>Disponível</t>
  </si>
  <si>
    <t>Dados &gt; Solver</t>
  </si>
  <si>
    <t>Variáveis:</t>
  </si>
  <si>
    <t>C</t>
  </si>
  <si>
    <t>Função Objetivo:</t>
  </si>
  <si>
    <t>S1</t>
  </si>
  <si>
    <t>S2</t>
  </si>
  <si>
    <t>S3</t>
  </si>
  <si>
    <t>Células variáveis</t>
  </si>
  <si>
    <t>Legenda</t>
  </si>
  <si>
    <t>J</t>
  </si>
  <si>
    <t>Capitães</t>
  </si>
  <si>
    <t>Marujos</t>
  </si>
  <si>
    <t>Jangadas</t>
  </si>
  <si>
    <t>Canoas</t>
  </si>
  <si>
    <t>Arcas</t>
  </si>
  <si>
    <t>P1</t>
  </si>
  <si>
    <t>P2</t>
  </si>
  <si>
    <t>P3</t>
  </si>
  <si>
    <t>H. Trabalho</t>
  </si>
  <si>
    <t>H. Máquinas</t>
  </si>
  <si>
    <t>P1 Demanda</t>
  </si>
  <si>
    <t>P2 Demanda</t>
  </si>
  <si>
    <t>P3 Demanda</t>
  </si>
  <si>
    <t>Custo:</t>
  </si>
  <si>
    <t>Carne</t>
  </si>
  <si>
    <t>Ovo</t>
  </si>
  <si>
    <t>Vitaminas</t>
  </si>
  <si>
    <t>Proteínas</t>
  </si>
  <si>
    <t>Líquido</t>
  </si>
  <si>
    <t>Pó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</si>
</sst>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44" fontId="2" fillId="0" borderId="1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44" fontId="2" fillId="0" borderId="1" xfId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11</xdr:row>
      <xdr:rowOff>142875</xdr:rowOff>
    </xdr:from>
    <xdr:to>
      <xdr:col>3</xdr:col>
      <xdr:colOff>619125</xdr:colOff>
      <xdr:row>16</xdr:row>
      <xdr:rowOff>185519</xdr:rowOff>
    </xdr:to>
    <xdr:sp macro="" textlink="">
      <xdr:nvSpPr>
        <xdr:cNvPr id="3" name="CaixaDeTexto 7">
          <a:extLst>
            <a:ext uri="{FF2B5EF4-FFF2-40B4-BE49-F238E27FC236}">
              <a16:creationId xmlns:a16="http://schemas.microsoft.com/office/drawing/2014/main" id="{F5C43E78-40F4-47AB-BE8A-4C4375965013}"/>
            </a:ext>
          </a:extLst>
        </xdr:cNvPr>
        <xdr:cNvSpPr txBox="1">
          <a:spLocks noChangeArrowheads="1"/>
        </xdr:cNvSpPr>
      </xdr:nvSpPr>
      <xdr:spPr bwMode="auto">
        <a:xfrm>
          <a:off x="95250" y="2238375"/>
          <a:ext cx="2524125" cy="995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>
          <a:spAutoFit/>
        </a:bodyPr>
        <a:lstStyle>
          <a:defPPr>
            <a:defRPr lang="pt-BR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Tahoma" panose="020B0604030504040204" pitchFamily="34" charset="0"/>
              <a:ea typeface="+mn-ea"/>
              <a:cs typeface="Tahoma" panose="020B0604030504040204" pitchFamily="34" charset="0"/>
            </a:defRPr>
          </a:lvl9pPr>
        </a:lstStyle>
        <a:p>
          <a:pPr eaLnBrk="1" hangingPunct="1">
            <a:spcBef>
              <a:spcPct val="0"/>
            </a:spcBef>
            <a:spcAft>
              <a:spcPts val="600"/>
            </a:spcAft>
            <a:buFont typeface="Wingdings" panose="05000000000000000000" pitchFamily="2" charset="2"/>
            <a:buNone/>
          </a:pPr>
          <a:r>
            <a:rPr lang="pt-BR" altLang="pt-BR" sz="1400" b="1" u="sng">
              <a:latin typeface="Times New Roman" panose="02020603050405020304" pitchFamily="18" charset="0"/>
            </a:rPr>
            <a:t>Representação do problema</a:t>
          </a:r>
          <a:r>
            <a:rPr lang="pt-BR" altLang="pt-BR" sz="1400" b="1">
              <a:latin typeface="Times New Roman" panose="02020603050405020304" pitchFamily="18" charset="0"/>
            </a:rPr>
            <a:t>: </a:t>
          </a:r>
        </a:p>
        <a:p>
          <a:pPr eaLnBrk="1" hangingPunct="1">
            <a:spcBef>
              <a:spcPct val="0"/>
            </a:spcBef>
            <a:buFontTx/>
            <a:buNone/>
          </a:pPr>
          <a:r>
            <a:rPr lang="pt-BR" altLang="pt-BR" sz="1400" b="1">
              <a:latin typeface="Times New Roman" panose="02020603050405020304" pitchFamily="18" charset="0"/>
            </a:rPr>
            <a:t>Max: 6,00.A + 8,00.B</a:t>
          </a:r>
        </a:p>
        <a:p>
          <a:pPr eaLnBrk="1" hangingPunct="1">
            <a:spcBef>
              <a:spcPct val="0"/>
            </a:spcBef>
            <a:buFontTx/>
            <a:buNone/>
          </a:pPr>
          <a:r>
            <a:rPr lang="pt-BR" altLang="pt-BR" sz="1400" b="1">
              <a:latin typeface="Times New Roman" panose="02020603050405020304" pitchFamily="18" charset="0"/>
            </a:rPr>
            <a:t>Sujeito a: 2.A + 2.B &lt;= 24</a:t>
          </a:r>
        </a:p>
        <a:p>
          <a:pPr eaLnBrk="1" hangingPunct="1">
            <a:spcBef>
              <a:spcPct val="0"/>
            </a:spcBef>
            <a:buFontTx/>
            <a:buNone/>
          </a:pPr>
          <a:r>
            <a:rPr lang="pt-BR" altLang="pt-BR" sz="1400" b="1">
              <a:latin typeface="Times New Roman" panose="02020603050405020304" pitchFamily="18" charset="0"/>
            </a:rPr>
            <a:t>	     4.A + 8.B &lt;= 84</a:t>
          </a:r>
        </a:p>
      </xdr:txBody>
    </xdr:sp>
    <xdr:clientData/>
  </xdr:twoCellAnchor>
  <xdr:twoCellAnchor editAs="oneCell">
    <xdr:from>
      <xdr:col>6</xdr:col>
      <xdr:colOff>381000</xdr:colOff>
      <xdr:row>2</xdr:row>
      <xdr:rowOff>85725</xdr:rowOff>
    </xdr:from>
    <xdr:to>
      <xdr:col>13</xdr:col>
      <xdr:colOff>28575</xdr:colOff>
      <xdr:row>24</xdr:row>
      <xdr:rowOff>798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8B9E10D-E226-44A1-83EF-F465D6C02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466725"/>
          <a:ext cx="3914775" cy="41060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476249</xdr:colOff>
      <xdr:row>5</xdr:row>
      <xdr:rowOff>40600</xdr:rowOff>
    </xdr:from>
    <xdr:to>
      <xdr:col>14</xdr:col>
      <xdr:colOff>239188</xdr:colOff>
      <xdr:row>22</xdr:row>
      <xdr:rowOff>48335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3EA1982-0C17-4B5E-ACE5-7A4B98FE0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4" y="945475"/>
          <a:ext cx="4620689" cy="30843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552451</xdr:colOff>
      <xdr:row>4</xdr:row>
      <xdr:rowOff>104775</xdr:rowOff>
    </xdr:from>
    <xdr:to>
      <xdr:col>14</xdr:col>
      <xdr:colOff>228601</xdr:colOff>
      <xdr:row>21</xdr:row>
      <xdr:rowOff>31249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0A02AD-5717-487E-A3E4-E12898A4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91376" y="828675"/>
          <a:ext cx="4533900" cy="30030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4</xdr:row>
      <xdr:rowOff>142876</xdr:rowOff>
    </xdr:from>
    <xdr:to>
      <xdr:col>15</xdr:col>
      <xdr:colOff>45290</xdr:colOff>
      <xdr:row>21</xdr:row>
      <xdr:rowOff>76201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8206A4-EE0F-4A62-821D-15A815BED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15225" y="866776"/>
          <a:ext cx="4893515" cy="3009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28576</xdr:rowOff>
    </xdr:from>
    <xdr:to>
      <xdr:col>14</xdr:col>
      <xdr:colOff>66675</xdr:colOff>
      <xdr:row>19</xdr:row>
      <xdr:rowOff>19558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722C081-E8E6-486B-8380-2E00432DB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5700" y="933451"/>
          <a:ext cx="4314825" cy="2524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4A52-16F0-4162-B6AE-9D7F3E472442}">
  <dimension ref="A1:F8"/>
  <sheetViews>
    <sheetView workbookViewId="0">
      <selection activeCell="D7" sqref="D7"/>
    </sheetView>
  </sheetViews>
  <sheetFormatPr defaultRowHeight="15" x14ac:dyDescent="0.25"/>
  <cols>
    <col min="1" max="1" width="12" bestFit="1" customWidth="1"/>
    <col min="2" max="2" width="8.85546875" customWidth="1"/>
    <col min="4" max="4" width="20.85546875" customWidth="1"/>
    <col min="5" max="5" width="20.5703125" customWidth="1"/>
  </cols>
  <sheetData>
    <row r="1" spans="1:6" x14ac:dyDescent="0.25">
      <c r="A1" s="17" t="s">
        <v>0</v>
      </c>
      <c r="B1" s="17"/>
      <c r="C1" s="17"/>
      <c r="D1" s="17"/>
    </row>
    <row r="2" spans="1:6" x14ac:dyDescent="0.25">
      <c r="A2" s="2"/>
      <c r="B2" s="2" t="s">
        <v>1</v>
      </c>
      <c r="C2" s="2" t="s">
        <v>2</v>
      </c>
      <c r="D2" s="2"/>
      <c r="F2" s="1" t="s">
        <v>4</v>
      </c>
    </row>
    <row r="3" spans="1:6" x14ac:dyDescent="0.25">
      <c r="A3" s="2" t="s">
        <v>3</v>
      </c>
      <c r="B3" s="3">
        <v>3</v>
      </c>
      <c r="C3" s="3">
        <v>9</v>
      </c>
      <c r="D3" s="4" t="s">
        <v>6</v>
      </c>
      <c r="F3" t="s">
        <v>13</v>
      </c>
    </row>
    <row r="4" spans="1:6" x14ac:dyDescent="0.25">
      <c r="A4" s="2" t="s">
        <v>5</v>
      </c>
      <c r="B4" s="5">
        <v>6</v>
      </c>
      <c r="C4" s="5">
        <v>8</v>
      </c>
      <c r="D4" s="3">
        <f>B4*B3+C4*C3</f>
        <v>90</v>
      </c>
    </row>
    <row r="6" spans="1:6" x14ac:dyDescent="0.25">
      <c r="A6" s="14" t="s">
        <v>8</v>
      </c>
      <c r="B6" s="15"/>
      <c r="C6" s="16"/>
      <c r="D6" s="4" t="s">
        <v>11</v>
      </c>
      <c r="E6" s="4" t="s">
        <v>12</v>
      </c>
    </row>
    <row r="7" spans="1:6" x14ac:dyDescent="0.25">
      <c r="A7" s="2" t="s">
        <v>9</v>
      </c>
      <c r="B7" s="2">
        <v>2</v>
      </c>
      <c r="C7" s="2">
        <v>2</v>
      </c>
      <c r="D7" s="3">
        <f>B7*B3+C7*C3</f>
        <v>24</v>
      </c>
      <c r="E7" s="2">
        <v>24</v>
      </c>
    </row>
    <row r="8" spans="1:6" x14ac:dyDescent="0.25">
      <c r="A8" s="2" t="s">
        <v>10</v>
      </c>
      <c r="B8" s="2">
        <v>4</v>
      </c>
      <c r="C8" s="2">
        <v>8</v>
      </c>
      <c r="D8" s="3">
        <f>B8*B3+C8*C3</f>
        <v>84</v>
      </c>
      <c r="E8" s="2">
        <v>84</v>
      </c>
    </row>
  </sheetData>
  <mergeCells count="2">
    <mergeCell ref="A6:C6"/>
    <mergeCell ref="A1:D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FFC1-CE91-407D-A0D7-B9029AC4797C}">
  <dimension ref="B2:J10"/>
  <sheetViews>
    <sheetView showGridLines="0" workbookViewId="0">
      <selection activeCell="C4" sqref="C4:E4"/>
    </sheetView>
  </sheetViews>
  <sheetFormatPr defaultRowHeight="14.25" x14ac:dyDescent="0.2"/>
  <cols>
    <col min="1" max="1" width="9.140625" style="8"/>
    <col min="2" max="2" width="17.5703125" style="8" customWidth="1"/>
    <col min="3" max="3" width="14" style="8" bestFit="1" customWidth="1"/>
    <col min="4" max="4" width="14.42578125" style="8" customWidth="1"/>
    <col min="5" max="5" width="15.85546875" style="8" customWidth="1"/>
    <col min="6" max="7" width="14.28515625" style="8" customWidth="1"/>
    <col min="8" max="9" width="9.140625" style="8"/>
    <col min="10" max="10" width="18" style="8" bestFit="1" customWidth="1"/>
    <col min="11" max="16384" width="9.140625" style="8"/>
  </cols>
  <sheetData>
    <row r="2" spans="2:10" x14ac:dyDescent="0.2">
      <c r="B2" s="6" t="s">
        <v>14</v>
      </c>
      <c r="C2" s="7" t="s">
        <v>1</v>
      </c>
      <c r="D2" s="7" t="s">
        <v>2</v>
      </c>
      <c r="E2" s="7" t="s">
        <v>15</v>
      </c>
      <c r="I2" s="18" t="s">
        <v>21</v>
      </c>
      <c r="J2" s="18"/>
    </row>
    <row r="3" spans="2:10" x14ac:dyDescent="0.2">
      <c r="B3" s="6" t="s">
        <v>3</v>
      </c>
      <c r="C3" s="9">
        <v>60</v>
      </c>
      <c r="D3" s="9">
        <v>40</v>
      </c>
      <c r="E3" s="9">
        <v>0</v>
      </c>
      <c r="I3" s="11"/>
      <c r="J3" s="6" t="s">
        <v>20</v>
      </c>
    </row>
    <row r="4" spans="2:10" x14ac:dyDescent="0.2">
      <c r="B4" s="6" t="s">
        <v>5</v>
      </c>
      <c r="C4" s="20">
        <v>20</v>
      </c>
      <c r="D4" s="20">
        <v>8</v>
      </c>
      <c r="E4" s="20">
        <v>3</v>
      </c>
      <c r="I4" s="12"/>
      <c r="J4" s="6" t="s">
        <v>7</v>
      </c>
    </row>
    <row r="5" spans="2:10" x14ac:dyDescent="0.2">
      <c r="B5" s="6" t="s">
        <v>16</v>
      </c>
      <c r="C5" s="13">
        <f>C4*C3+D4*D3+E4*E3</f>
        <v>1520</v>
      </c>
    </row>
    <row r="7" spans="2:10" x14ac:dyDescent="0.2">
      <c r="B7" s="7" t="s">
        <v>7</v>
      </c>
      <c r="C7" s="7" t="s">
        <v>1</v>
      </c>
      <c r="D7" s="7" t="s">
        <v>2</v>
      </c>
      <c r="E7" s="7" t="s">
        <v>15</v>
      </c>
      <c r="F7" s="7" t="s">
        <v>11</v>
      </c>
      <c r="G7" s="7" t="s">
        <v>12</v>
      </c>
    </row>
    <row r="8" spans="2:10" x14ac:dyDescent="0.2">
      <c r="B8" s="6" t="s">
        <v>17</v>
      </c>
      <c r="C8" s="6">
        <v>4</v>
      </c>
      <c r="D8" s="6">
        <v>0</v>
      </c>
      <c r="E8" s="6">
        <v>1</v>
      </c>
      <c r="F8" s="12">
        <f>C8*$C$3+D8*$D$3+E8*$E$3</f>
        <v>240</v>
      </c>
      <c r="G8" s="6">
        <v>240</v>
      </c>
    </row>
    <row r="9" spans="2:10" x14ac:dyDescent="0.2">
      <c r="B9" s="6" t="s">
        <v>18</v>
      </c>
      <c r="C9" s="6">
        <v>4</v>
      </c>
      <c r="D9" s="6">
        <v>2</v>
      </c>
      <c r="E9" s="6">
        <v>2</v>
      </c>
      <c r="F9" s="12">
        <f t="shared" ref="F9:F10" si="0">C9*$C$3+D9*$D$3+E9*$E$3</f>
        <v>320</v>
      </c>
      <c r="G9" s="6">
        <v>320</v>
      </c>
    </row>
    <row r="10" spans="2:10" x14ac:dyDescent="0.2">
      <c r="B10" s="6" t="s">
        <v>19</v>
      </c>
      <c r="C10" s="6">
        <v>3</v>
      </c>
      <c r="D10" s="6">
        <v>4</v>
      </c>
      <c r="E10" s="6">
        <v>0</v>
      </c>
      <c r="F10" s="12">
        <f t="shared" si="0"/>
        <v>340</v>
      </c>
      <c r="G10" s="6">
        <v>480</v>
      </c>
    </row>
  </sheetData>
  <mergeCells count="1">
    <mergeCell ref="I2:J2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89D1-1372-4322-A12D-D9B56C18468D}">
  <dimension ref="B2:J12"/>
  <sheetViews>
    <sheetView showGridLines="0" workbookViewId="0">
      <selection activeCell="C4" sqref="C4:E4"/>
    </sheetView>
  </sheetViews>
  <sheetFormatPr defaultRowHeight="14.25" x14ac:dyDescent="0.2"/>
  <cols>
    <col min="1" max="1" width="9.140625" style="8"/>
    <col min="2" max="2" width="17.5703125" style="8" customWidth="1"/>
    <col min="3" max="3" width="14" style="8" bestFit="1" customWidth="1"/>
    <col min="4" max="4" width="14.42578125" style="8" customWidth="1"/>
    <col min="5" max="5" width="15.85546875" style="8" customWidth="1"/>
    <col min="6" max="7" width="14.28515625" style="8" customWidth="1"/>
    <col min="8" max="9" width="9.140625" style="8"/>
    <col min="10" max="10" width="18" style="8" bestFit="1" customWidth="1"/>
    <col min="11" max="16384" width="9.140625" style="8"/>
  </cols>
  <sheetData>
    <row r="2" spans="2:10" x14ac:dyDescent="0.2">
      <c r="B2" s="6" t="s">
        <v>14</v>
      </c>
      <c r="C2" s="10" t="s">
        <v>22</v>
      </c>
      <c r="D2" s="10" t="s">
        <v>15</v>
      </c>
      <c r="E2" s="10" t="s">
        <v>1</v>
      </c>
      <c r="I2" s="18" t="s">
        <v>21</v>
      </c>
      <c r="J2" s="18"/>
    </row>
    <row r="3" spans="2:10" x14ac:dyDescent="0.2">
      <c r="B3" s="6" t="s">
        <v>3</v>
      </c>
      <c r="C3" s="9">
        <v>4</v>
      </c>
      <c r="D3" s="9">
        <v>4</v>
      </c>
      <c r="E3" s="9">
        <v>2</v>
      </c>
      <c r="I3" s="11"/>
      <c r="J3" s="6" t="s">
        <v>20</v>
      </c>
    </row>
    <row r="4" spans="2:10" x14ac:dyDescent="0.2">
      <c r="B4" s="6" t="s">
        <v>5</v>
      </c>
      <c r="C4" s="20">
        <v>50</v>
      </c>
      <c r="D4" s="20">
        <v>70</v>
      </c>
      <c r="E4" s="20">
        <v>100</v>
      </c>
      <c r="I4" s="12"/>
      <c r="J4" s="6" t="s">
        <v>7</v>
      </c>
    </row>
    <row r="5" spans="2:10" x14ac:dyDescent="0.2">
      <c r="B5" s="6" t="s">
        <v>16</v>
      </c>
      <c r="C5" s="13">
        <f>C4*C3+D4*D3+E4*E3</f>
        <v>680</v>
      </c>
    </row>
    <row r="7" spans="2:10" x14ac:dyDescent="0.2">
      <c r="B7" s="10" t="s">
        <v>7</v>
      </c>
      <c r="C7" s="10" t="s">
        <v>22</v>
      </c>
      <c r="D7" s="10" t="s">
        <v>15</v>
      </c>
      <c r="E7" s="10" t="s">
        <v>1</v>
      </c>
      <c r="F7" s="10" t="s">
        <v>11</v>
      </c>
      <c r="G7" s="10" t="s">
        <v>12</v>
      </c>
    </row>
    <row r="8" spans="2:10" x14ac:dyDescent="0.2">
      <c r="B8" s="6" t="s">
        <v>23</v>
      </c>
      <c r="C8" s="6">
        <v>1</v>
      </c>
      <c r="D8" s="6">
        <v>1</v>
      </c>
      <c r="E8" s="6">
        <v>1</v>
      </c>
      <c r="F8" s="12">
        <f>C8*$C$3+D8*$D$3+E8*$E$3</f>
        <v>10</v>
      </c>
      <c r="G8" s="6">
        <v>10</v>
      </c>
    </row>
    <row r="9" spans="2:10" x14ac:dyDescent="0.2">
      <c r="B9" s="6" t="s">
        <v>24</v>
      </c>
      <c r="C9" s="6">
        <v>1</v>
      </c>
      <c r="D9" s="6">
        <v>2</v>
      </c>
      <c r="E9" s="6">
        <v>3</v>
      </c>
      <c r="F9" s="12">
        <f t="shared" ref="F9:F12" si="0">C9*$C$3+D9*$D$3+E9*$E$3</f>
        <v>18</v>
      </c>
      <c r="G9" s="6">
        <v>18</v>
      </c>
    </row>
    <row r="10" spans="2:10" x14ac:dyDescent="0.2">
      <c r="B10" s="6" t="s">
        <v>25</v>
      </c>
      <c r="C10" s="6">
        <v>1</v>
      </c>
      <c r="D10" s="6">
        <v>0</v>
      </c>
      <c r="E10" s="6">
        <v>0</v>
      </c>
      <c r="F10" s="12">
        <f t="shared" si="0"/>
        <v>4</v>
      </c>
      <c r="G10" s="6">
        <v>4</v>
      </c>
    </row>
    <row r="11" spans="2:10" x14ac:dyDescent="0.2">
      <c r="B11" s="6" t="s">
        <v>26</v>
      </c>
      <c r="C11" s="6">
        <v>0</v>
      </c>
      <c r="D11" s="6">
        <v>1</v>
      </c>
      <c r="E11" s="6">
        <v>0</v>
      </c>
      <c r="F11" s="12">
        <f t="shared" si="0"/>
        <v>4</v>
      </c>
      <c r="G11" s="6">
        <v>8</v>
      </c>
    </row>
    <row r="12" spans="2:10" x14ac:dyDescent="0.2">
      <c r="B12" s="6" t="s">
        <v>27</v>
      </c>
      <c r="C12" s="6">
        <v>0</v>
      </c>
      <c r="D12" s="6">
        <v>0</v>
      </c>
      <c r="E12" s="6">
        <v>1</v>
      </c>
      <c r="F12" s="12">
        <f t="shared" si="0"/>
        <v>2</v>
      </c>
      <c r="G12" s="6">
        <v>3</v>
      </c>
    </row>
  </sheetData>
  <mergeCells count="1">
    <mergeCell ref="I2:J2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EFCB8-8C85-4D07-B054-1B69E32F4391}">
  <dimension ref="B2:J12"/>
  <sheetViews>
    <sheetView showGridLines="0" workbookViewId="0">
      <selection activeCell="C4" sqref="C4:E4"/>
    </sheetView>
  </sheetViews>
  <sheetFormatPr defaultRowHeight="14.25" x14ac:dyDescent="0.2"/>
  <cols>
    <col min="1" max="1" width="9.140625" style="8"/>
    <col min="2" max="2" width="17.5703125" style="8" customWidth="1"/>
    <col min="3" max="3" width="17.85546875" style="8" customWidth="1"/>
    <col min="4" max="4" width="14.42578125" style="8" customWidth="1"/>
    <col min="5" max="5" width="15.85546875" style="8" customWidth="1"/>
    <col min="6" max="7" width="14.28515625" style="8" customWidth="1"/>
    <col min="8" max="9" width="9.140625" style="8"/>
    <col min="10" max="10" width="18" style="8" bestFit="1" customWidth="1"/>
    <col min="11" max="16384" width="9.140625" style="8"/>
  </cols>
  <sheetData>
    <row r="2" spans="2:10" x14ac:dyDescent="0.2">
      <c r="B2" s="6" t="s">
        <v>14</v>
      </c>
      <c r="C2" s="10" t="s">
        <v>28</v>
      </c>
      <c r="D2" s="10" t="s">
        <v>29</v>
      </c>
      <c r="E2" s="10" t="s">
        <v>30</v>
      </c>
      <c r="I2" s="18" t="s">
        <v>21</v>
      </c>
      <c r="J2" s="18"/>
    </row>
    <row r="3" spans="2:10" x14ac:dyDescent="0.2">
      <c r="B3" s="6" t="s">
        <v>3</v>
      </c>
      <c r="C3" s="9">
        <v>280</v>
      </c>
      <c r="D3" s="9">
        <v>600</v>
      </c>
      <c r="E3" s="9">
        <v>120</v>
      </c>
      <c r="I3" s="11"/>
      <c r="J3" s="6" t="s">
        <v>20</v>
      </c>
    </row>
    <row r="4" spans="2:10" x14ac:dyDescent="0.2">
      <c r="B4" s="6" t="s">
        <v>5</v>
      </c>
      <c r="C4" s="20">
        <v>2100</v>
      </c>
      <c r="D4" s="20">
        <v>1200</v>
      </c>
      <c r="E4" s="20">
        <v>600</v>
      </c>
      <c r="I4" s="12"/>
      <c r="J4" s="6" t="s">
        <v>7</v>
      </c>
    </row>
    <row r="5" spans="2:10" x14ac:dyDescent="0.2">
      <c r="B5" s="6" t="s">
        <v>16</v>
      </c>
      <c r="C5" s="13">
        <f>SUMPRODUCT(C3:E3,C4:E4)</f>
        <v>1380000</v>
      </c>
    </row>
    <row r="7" spans="2:10" x14ac:dyDescent="0.2">
      <c r="B7" s="10" t="s">
        <v>7</v>
      </c>
      <c r="C7" s="10" t="s">
        <v>28</v>
      </c>
      <c r="D7" s="10" t="s">
        <v>29</v>
      </c>
      <c r="E7" s="10" t="s">
        <v>30</v>
      </c>
      <c r="F7" s="10" t="s">
        <v>11</v>
      </c>
      <c r="G7" s="10" t="s">
        <v>12</v>
      </c>
    </row>
    <row r="8" spans="2:10" x14ac:dyDescent="0.2">
      <c r="B8" s="6" t="s">
        <v>31</v>
      </c>
      <c r="C8" s="6">
        <v>6</v>
      </c>
      <c r="D8" s="6">
        <v>4</v>
      </c>
      <c r="E8" s="6">
        <v>6</v>
      </c>
      <c r="F8" s="12">
        <f>SUMPRODUCT(C8:E8,$C$3:$E$3)</f>
        <v>4800</v>
      </c>
      <c r="G8" s="6">
        <v>4800</v>
      </c>
    </row>
    <row r="9" spans="2:10" x14ac:dyDescent="0.2">
      <c r="B9" s="6" t="s">
        <v>32</v>
      </c>
      <c r="C9" s="6">
        <v>12</v>
      </c>
      <c r="D9" s="6">
        <v>6</v>
      </c>
      <c r="E9" s="6">
        <v>2</v>
      </c>
      <c r="F9" s="12">
        <f t="shared" ref="F9:F12" si="0">SUMPRODUCT(C9:E9,$C$3:$E$3)</f>
        <v>7200</v>
      </c>
      <c r="G9" s="6">
        <v>7200</v>
      </c>
    </row>
    <row r="10" spans="2:10" x14ac:dyDescent="0.2">
      <c r="B10" s="6" t="s">
        <v>33</v>
      </c>
      <c r="C10" s="6">
        <v>1</v>
      </c>
      <c r="D10" s="6">
        <v>0</v>
      </c>
      <c r="E10" s="6">
        <v>0</v>
      </c>
      <c r="F10" s="12">
        <f t="shared" si="0"/>
        <v>280</v>
      </c>
      <c r="G10" s="6">
        <v>800</v>
      </c>
    </row>
    <row r="11" spans="2:10" x14ac:dyDescent="0.2">
      <c r="B11" s="6" t="s">
        <v>34</v>
      </c>
      <c r="C11" s="6">
        <v>0</v>
      </c>
      <c r="D11" s="6">
        <v>1</v>
      </c>
      <c r="E11" s="6">
        <v>0</v>
      </c>
      <c r="F11" s="12">
        <f t="shared" si="0"/>
        <v>600</v>
      </c>
      <c r="G11" s="6">
        <v>600</v>
      </c>
    </row>
    <row r="12" spans="2:10" x14ac:dyDescent="0.2">
      <c r="B12" s="6" t="s">
        <v>35</v>
      </c>
      <c r="C12" s="6">
        <v>0</v>
      </c>
      <c r="D12" s="6">
        <v>0</v>
      </c>
      <c r="E12" s="6">
        <v>1</v>
      </c>
      <c r="F12" s="12">
        <f t="shared" si="0"/>
        <v>120</v>
      </c>
      <c r="G12" s="6">
        <v>600</v>
      </c>
    </row>
  </sheetData>
  <mergeCells count="1">
    <mergeCell ref="I2:J2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7343-6BB5-4B7A-8CF3-B853B0868558}">
  <dimension ref="B2:J9"/>
  <sheetViews>
    <sheetView showGridLines="0" workbookViewId="0">
      <selection activeCell="C4" sqref="C4:D4"/>
    </sheetView>
  </sheetViews>
  <sheetFormatPr defaultRowHeight="14.25" x14ac:dyDescent="0.2"/>
  <cols>
    <col min="1" max="1" width="9.140625" style="8"/>
    <col min="2" max="2" width="17.5703125" style="8" customWidth="1"/>
    <col min="3" max="3" width="17.85546875" style="8" customWidth="1"/>
    <col min="4" max="4" width="14.42578125" style="8" customWidth="1"/>
    <col min="5" max="5" width="15.85546875" style="8" customWidth="1"/>
    <col min="6" max="7" width="14.28515625" style="8" customWidth="1"/>
    <col min="8" max="9" width="9.140625" style="8"/>
    <col min="10" max="10" width="18" style="8" bestFit="1" customWidth="1"/>
    <col min="11" max="16384" width="9.140625" style="8"/>
  </cols>
  <sheetData>
    <row r="2" spans="2:10" x14ac:dyDescent="0.2">
      <c r="B2" s="6" t="s">
        <v>14</v>
      </c>
      <c r="C2" s="10" t="s">
        <v>37</v>
      </c>
      <c r="D2" s="10" t="s">
        <v>38</v>
      </c>
      <c r="E2" s="19"/>
      <c r="I2" s="18" t="s">
        <v>21</v>
      </c>
      <c r="J2" s="18"/>
    </row>
    <row r="3" spans="2:10" x14ac:dyDescent="0.2">
      <c r="B3" s="6" t="s">
        <v>3</v>
      </c>
      <c r="C3" s="9">
        <v>0</v>
      </c>
      <c r="D3" s="9">
        <v>6</v>
      </c>
      <c r="E3" s="19"/>
      <c r="I3" s="11"/>
      <c r="J3" s="6" t="s">
        <v>20</v>
      </c>
    </row>
    <row r="4" spans="2:10" x14ac:dyDescent="0.2">
      <c r="B4" s="6" t="s">
        <v>36</v>
      </c>
      <c r="C4" s="20">
        <v>3</v>
      </c>
      <c r="D4" s="20">
        <v>2.5</v>
      </c>
      <c r="E4" s="19"/>
      <c r="I4" s="12"/>
      <c r="J4" s="6" t="s">
        <v>7</v>
      </c>
    </row>
    <row r="5" spans="2:10" x14ac:dyDescent="0.2">
      <c r="B5" s="6" t="s">
        <v>16</v>
      </c>
      <c r="C5" s="13">
        <f>SUMPRODUCT(C3:D3,C4:D4)</f>
        <v>15</v>
      </c>
    </row>
    <row r="7" spans="2:10" x14ac:dyDescent="0.2">
      <c r="B7" s="10" t="s">
        <v>7</v>
      </c>
      <c r="C7" s="10" t="s">
        <v>37</v>
      </c>
      <c r="D7" s="10" t="s">
        <v>38</v>
      </c>
      <c r="E7" s="10" t="s">
        <v>11</v>
      </c>
      <c r="F7" s="10" t="s">
        <v>12</v>
      </c>
    </row>
    <row r="8" spans="2:10" x14ac:dyDescent="0.2">
      <c r="B8" s="6" t="s">
        <v>39</v>
      </c>
      <c r="C8" s="6">
        <v>4</v>
      </c>
      <c r="D8" s="6">
        <v>8</v>
      </c>
      <c r="E8" s="12">
        <f>SUMPRODUCT(C8:D8,$C$3:$D$3)</f>
        <v>48</v>
      </c>
      <c r="F8" s="6">
        <v>32</v>
      </c>
    </row>
    <row r="9" spans="2:10" x14ac:dyDescent="0.2">
      <c r="B9" s="6" t="s">
        <v>40</v>
      </c>
      <c r="C9" s="6">
        <v>6</v>
      </c>
      <c r="D9" s="6">
        <v>6</v>
      </c>
      <c r="E9" s="12">
        <f>SUMPRODUCT(C9:D9,$C$3:$D$3)</f>
        <v>36</v>
      </c>
      <c r="F9" s="6">
        <v>36</v>
      </c>
    </row>
  </sheetData>
  <mergeCells count="1">
    <mergeCell ref="I2:J2"/>
  </mergeCells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2010-20DC-4105-A304-6C5E5ED33076}">
  <dimension ref="B2:J10"/>
  <sheetViews>
    <sheetView showGridLines="0" tabSelected="1" workbookViewId="0">
      <selection activeCell="C5" sqref="C5"/>
    </sheetView>
  </sheetViews>
  <sheetFormatPr defaultRowHeight="14.25" x14ac:dyDescent="0.2"/>
  <cols>
    <col min="1" max="1" width="9.140625" style="8"/>
    <col min="2" max="2" width="17.5703125" style="8" customWidth="1"/>
    <col min="3" max="3" width="17.85546875" style="8" customWidth="1"/>
    <col min="4" max="4" width="14.42578125" style="8" customWidth="1"/>
    <col min="5" max="5" width="15.85546875" style="8" customWidth="1"/>
    <col min="6" max="7" width="14.28515625" style="8" customWidth="1"/>
    <col min="8" max="9" width="9.140625" style="8"/>
    <col min="10" max="10" width="18" style="8" bestFit="1" customWidth="1"/>
    <col min="11" max="16384" width="9.140625" style="8"/>
  </cols>
  <sheetData>
    <row r="2" spans="2:10" x14ac:dyDescent="0.2">
      <c r="B2" s="6" t="s">
        <v>14</v>
      </c>
      <c r="C2" s="10" t="s">
        <v>41</v>
      </c>
      <c r="D2" s="10" t="s">
        <v>42</v>
      </c>
      <c r="E2" s="19"/>
      <c r="I2" s="18" t="s">
        <v>21</v>
      </c>
      <c r="J2" s="18"/>
    </row>
    <row r="3" spans="2:10" x14ac:dyDescent="0.2">
      <c r="B3" s="6" t="s">
        <v>3</v>
      </c>
      <c r="C3" s="9">
        <v>1.0000000000000002</v>
      </c>
      <c r="D3" s="9">
        <v>5</v>
      </c>
      <c r="E3" s="19"/>
      <c r="I3" s="11"/>
      <c r="J3" s="6" t="s">
        <v>20</v>
      </c>
    </row>
    <row r="4" spans="2:10" x14ac:dyDescent="0.2">
      <c r="B4" s="6" t="s">
        <v>36</v>
      </c>
      <c r="C4" s="20">
        <v>3</v>
      </c>
      <c r="D4" s="20">
        <v>2</v>
      </c>
      <c r="E4" s="19"/>
      <c r="I4" s="12"/>
      <c r="J4" s="6" t="s">
        <v>7</v>
      </c>
    </row>
    <row r="5" spans="2:10" x14ac:dyDescent="0.2">
      <c r="B5" s="6" t="s">
        <v>16</v>
      </c>
      <c r="C5" s="13">
        <f>SUMPRODUCT(C3:D3,C4:D4)</f>
        <v>13</v>
      </c>
    </row>
    <row r="7" spans="2:10" x14ac:dyDescent="0.2">
      <c r="B7" s="10" t="s">
        <v>7</v>
      </c>
      <c r="C7" s="10" t="s">
        <v>41</v>
      </c>
      <c r="D7" s="10" t="s">
        <v>42</v>
      </c>
      <c r="E7" s="10" t="s">
        <v>11</v>
      </c>
      <c r="F7" s="10" t="s">
        <v>12</v>
      </c>
    </row>
    <row r="8" spans="2:10" x14ac:dyDescent="0.2">
      <c r="B8" s="6" t="s">
        <v>1</v>
      </c>
      <c r="C8" s="6">
        <v>5</v>
      </c>
      <c r="D8" s="6">
        <v>1</v>
      </c>
      <c r="E8" s="12">
        <f>SUMPRODUCT(C8:D8,$C$3:$D$3)</f>
        <v>10</v>
      </c>
      <c r="F8" s="6">
        <v>10</v>
      </c>
    </row>
    <row r="9" spans="2:10" x14ac:dyDescent="0.2">
      <c r="B9" s="6" t="s">
        <v>2</v>
      </c>
      <c r="C9" s="6">
        <v>2</v>
      </c>
      <c r="D9" s="6">
        <v>2</v>
      </c>
      <c r="E9" s="12">
        <f>SUMPRODUCT(C9:D9,$C$3:$D$3)</f>
        <v>12</v>
      </c>
      <c r="F9" s="6">
        <v>12</v>
      </c>
    </row>
    <row r="10" spans="2:10" x14ac:dyDescent="0.2">
      <c r="B10" s="6" t="s">
        <v>15</v>
      </c>
      <c r="C10" s="6">
        <v>1</v>
      </c>
      <c r="D10" s="6">
        <v>4</v>
      </c>
      <c r="E10" s="12">
        <f>SUMPRODUCT(C10:D10,$C$3:$D$3)</f>
        <v>21</v>
      </c>
      <c r="F10" s="6">
        <v>12</v>
      </c>
    </row>
  </sheetData>
  <mergeCells count="1">
    <mergeCell ref="I2:J2"/>
  </mergeCell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A1 - Meias</vt:lpstr>
      <vt:lpstr>A2 - Empresa</vt:lpstr>
      <vt:lpstr>E1 - Capitão Caverna</vt:lpstr>
      <vt:lpstr>E2 - Empresa BETA</vt:lpstr>
      <vt:lpstr>E2- Min - Vitaminas</vt:lpstr>
      <vt:lpstr>E3 - Jardim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2026-09-02T23:49:03Z</dcterms:created>
  <dcterms:modified xsi:type="dcterms:W3CDTF">2026-09-10T00:54:43Z</dcterms:modified>
</cp:coreProperties>
</file>