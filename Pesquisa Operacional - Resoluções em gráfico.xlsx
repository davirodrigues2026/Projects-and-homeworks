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B2C11500-6BE8-4093-9B2E-934CCD2070CA}" xr6:coauthVersionLast="36" xr6:coauthVersionMax="36" xr10:uidLastSave="{00000000-0000-0000-0000-000000000000}"/>
  <bookViews>
    <workbookView xWindow="0" yWindow="0" windowWidth="28800" windowHeight="12105" activeTab="4" xr2:uid="{8AC3BFE0-796C-44EF-8B5F-5E49284BBC29}"/>
  </bookViews>
  <sheets>
    <sheet name="MEIAS" sheetId="1" r:id="rId1"/>
    <sheet name="MARCENARIA" sheetId="3" r:id="rId2"/>
    <sheet name="FABRICA DE BRINQUEDOS" sheetId="4" r:id="rId3"/>
    <sheet name="FABRICA DE FANTASIAS" sheetId="5" r:id="rId4"/>
    <sheet name="BARCO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6" i="6" l="1"/>
  <c r="F36" i="6"/>
  <c r="E36" i="6"/>
  <c r="D36" i="6"/>
  <c r="C36" i="6"/>
  <c r="G35" i="6"/>
  <c r="F35" i="6"/>
  <c r="E35" i="6"/>
  <c r="D35" i="6"/>
  <c r="C35" i="6"/>
  <c r="G34" i="6"/>
  <c r="F34" i="6"/>
  <c r="E34" i="6"/>
  <c r="D34" i="6"/>
  <c r="C34" i="6"/>
  <c r="G33" i="6"/>
  <c r="F33" i="6"/>
  <c r="E33" i="6"/>
  <c r="D33" i="6"/>
  <c r="C33" i="6"/>
  <c r="G32" i="6"/>
  <c r="F32" i="6"/>
  <c r="E32" i="6"/>
  <c r="D32" i="6"/>
  <c r="C32" i="6"/>
  <c r="G31" i="6"/>
  <c r="F31" i="6"/>
  <c r="E31" i="6"/>
  <c r="D31" i="6"/>
  <c r="C31" i="6"/>
  <c r="G30" i="6"/>
  <c r="F30" i="6"/>
  <c r="E30" i="6"/>
  <c r="D30" i="6"/>
  <c r="C30" i="6"/>
  <c r="G29" i="6"/>
  <c r="F29" i="6"/>
  <c r="E29" i="6"/>
  <c r="D29" i="6"/>
  <c r="C29" i="6"/>
  <c r="C3" i="6"/>
  <c r="G2" i="6"/>
  <c r="G3" i="6"/>
  <c r="G4" i="6"/>
  <c r="G5" i="6"/>
  <c r="G6" i="6"/>
  <c r="G7" i="6"/>
  <c r="G8" i="6"/>
  <c r="G9" i="6"/>
  <c r="F2" i="6"/>
  <c r="F3" i="6"/>
  <c r="F4" i="6"/>
  <c r="F5" i="6"/>
  <c r="F6" i="6"/>
  <c r="F7" i="6"/>
  <c r="F8" i="6"/>
  <c r="F9" i="6"/>
  <c r="E2" i="6"/>
  <c r="E3" i="6"/>
  <c r="E4" i="6"/>
  <c r="E5" i="6"/>
  <c r="E6" i="6"/>
  <c r="E7" i="6"/>
  <c r="E8" i="6"/>
  <c r="E9" i="6"/>
  <c r="D3" i="6"/>
  <c r="D4" i="6"/>
  <c r="D5" i="6"/>
  <c r="D6" i="6"/>
  <c r="D7" i="6"/>
  <c r="D8" i="6"/>
  <c r="D9" i="6"/>
  <c r="D2" i="6"/>
  <c r="C2" i="6"/>
  <c r="C4" i="6"/>
  <c r="C5" i="6"/>
  <c r="C6" i="6"/>
  <c r="C7" i="6"/>
  <c r="C8" i="6"/>
  <c r="C9" i="6"/>
  <c r="E9" i="5"/>
  <c r="C9" i="5"/>
  <c r="D9" i="5"/>
  <c r="F9" i="5"/>
  <c r="F2" i="5"/>
  <c r="F3" i="5"/>
  <c r="F4" i="5"/>
  <c r="F5" i="5"/>
  <c r="F6" i="5"/>
  <c r="F7" i="5"/>
  <c r="F8" i="5"/>
  <c r="E2" i="5"/>
  <c r="E3" i="5"/>
  <c r="E4" i="5"/>
  <c r="E5" i="5"/>
  <c r="E6" i="5"/>
  <c r="E7" i="5"/>
  <c r="E8" i="5"/>
  <c r="D2" i="5"/>
  <c r="D3" i="5"/>
  <c r="D4" i="5"/>
  <c r="D5" i="5"/>
  <c r="D6" i="5"/>
  <c r="D7" i="5"/>
  <c r="D8" i="5"/>
  <c r="C2" i="5"/>
  <c r="C3" i="5"/>
  <c r="C4" i="5"/>
  <c r="C5" i="5"/>
  <c r="C6" i="5"/>
  <c r="C7" i="5"/>
  <c r="C8" i="5"/>
  <c r="F2" i="4"/>
  <c r="F3" i="4"/>
  <c r="F4" i="4"/>
  <c r="F5" i="4"/>
  <c r="F6" i="4"/>
  <c r="F7" i="4"/>
  <c r="F8" i="4"/>
  <c r="C8" i="4"/>
  <c r="D8" i="4"/>
  <c r="E8" i="4"/>
  <c r="E6" i="4"/>
  <c r="C6" i="4"/>
  <c r="C7" i="4"/>
  <c r="E7" i="4"/>
  <c r="D6" i="4"/>
  <c r="D7" i="4"/>
  <c r="D5" i="4"/>
  <c r="E2" i="4"/>
  <c r="E3" i="4"/>
  <c r="E4" i="4"/>
  <c r="E5" i="4"/>
  <c r="D2" i="4"/>
  <c r="D3" i="4"/>
  <c r="D4" i="4"/>
  <c r="C2" i="4"/>
  <c r="C3" i="4"/>
  <c r="C4" i="4"/>
  <c r="C5" i="4"/>
  <c r="E2" i="3" l="1"/>
  <c r="E3" i="3"/>
  <c r="E4" i="3"/>
  <c r="E5" i="3"/>
  <c r="E6" i="3"/>
  <c r="D2" i="3"/>
  <c r="D3" i="3"/>
  <c r="D4" i="3"/>
  <c r="D5" i="3"/>
  <c r="D6" i="3"/>
  <c r="C3" i="3"/>
  <c r="C4" i="3"/>
  <c r="C5" i="3"/>
  <c r="C6" i="3"/>
  <c r="C2" i="3"/>
  <c r="E3" i="1"/>
  <c r="E4" i="1"/>
  <c r="E5" i="1"/>
  <c r="E6" i="1"/>
  <c r="D3" i="1"/>
  <c r="D4" i="1"/>
  <c r="D5" i="1"/>
  <c r="D6" i="1"/>
  <c r="C6" i="1"/>
  <c r="C3" i="1"/>
  <c r="C4" i="1"/>
  <c r="C5" i="1"/>
  <c r="C2" i="1"/>
  <c r="E2" i="1"/>
  <c r="D2" i="1"/>
</calcChain>
</file>

<file path=xl/sharedStrings.xml><?xml version="1.0" encoding="utf-8"?>
<sst xmlns="http://schemas.openxmlformats.org/spreadsheetml/2006/main" count="73" uniqueCount="56">
  <si>
    <t>Função Objetivo</t>
  </si>
  <si>
    <t>Kit A</t>
  </si>
  <si>
    <t>Kit B</t>
  </si>
  <si>
    <t>R1 = Algodão</t>
  </si>
  <si>
    <t>R2 = Lã</t>
  </si>
  <si>
    <t>Mesa</t>
  </si>
  <si>
    <t>Armario</t>
  </si>
  <si>
    <t>B1</t>
  </si>
  <si>
    <t>B2</t>
  </si>
  <si>
    <t>R1 = Plastico</t>
  </si>
  <si>
    <t>R2 = M.O.</t>
  </si>
  <si>
    <t>VARIÁVEIS</t>
  </si>
  <si>
    <t>B1= QTD. DE BRINQUEDOS A SER PRODUZIDA</t>
  </si>
  <si>
    <t>B2= QTD. DE BRINQUEDOS A SER PRODUZIDA</t>
  </si>
  <si>
    <t xml:space="preserve">Função Objetivo = Max(Lucro) </t>
  </si>
  <si>
    <t>8*B1+5*B2</t>
  </si>
  <si>
    <t>RESTRIÇÕES</t>
  </si>
  <si>
    <t>PLASTICO</t>
  </si>
  <si>
    <t>MÃO DE OBRA</t>
  </si>
  <si>
    <t>2*B1+1B2 &lt;=1000 KG</t>
  </si>
  <si>
    <t>MKT</t>
  </si>
  <si>
    <t>B1+B2 &lt;=700</t>
  </si>
  <si>
    <t>3*B1+4*B2&lt;=2400MIN</t>
  </si>
  <si>
    <t>2400=40H</t>
  </si>
  <si>
    <t>R3=MKT</t>
  </si>
  <si>
    <t>BRIM</t>
  </si>
  <si>
    <t>SEDA</t>
  </si>
  <si>
    <t>CETIM</t>
  </si>
  <si>
    <t>M1= QTD. DE FANTASIAS A SER PRODUZIDA</t>
  </si>
  <si>
    <t>M2= QTD. DE FANTASIAS A SER PRODUZIDA</t>
  </si>
  <si>
    <t>300*M1+500*M2</t>
  </si>
  <si>
    <t>4m1+2m2&lt;=32</t>
  </si>
  <si>
    <t>2m1+4m2&lt;=22</t>
  </si>
  <si>
    <t>2m1+6m2&lt;=30</t>
  </si>
  <si>
    <t>M1</t>
  </si>
  <si>
    <t>M2</t>
  </si>
  <si>
    <t>R1 = BRIM</t>
  </si>
  <si>
    <t>R2 = SEDA</t>
  </si>
  <si>
    <t>R3=CETIM</t>
  </si>
  <si>
    <t xml:space="preserve">Função Objetivo = Max(Receita) </t>
  </si>
  <si>
    <t>C= QTD DE CARNE A SER TRANSPORTADA</t>
  </si>
  <si>
    <t>G= QTD. DE GRÃOS A SER TRANSPORTADA</t>
  </si>
  <si>
    <t>CARNE DISPONIVEL</t>
  </si>
  <si>
    <t>C</t>
  </si>
  <si>
    <t>G</t>
  </si>
  <si>
    <t xml:space="preserve">Função Objetivo = Max(LUCRO) </t>
  </si>
  <si>
    <t>0,35*C+0,12*G</t>
  </si>
  <si>
    <t>R1 = CARNE</t>
  </si>
  <si>
    <t>R2 = GRÃO</t>
  </si>
  <si>
    <t>R3=ESPAÇO NAVIO</t>
  </si>
  <si>
    <t>R4= CPC EM KG</t>
  </si>
  <si>
    <t>GRAOS DISPONIVEL</t>
  </si>
  <si>
    <t>ESPAÇO NAVIO</t>
  </si>
  <si>
    <t>0,2*C+0,4*G&lt;=70000</t>
  </si>
  <si>
    <t>CPC KG</t>
  </si>
  <si>
    <t>C+G=160000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</si>
</sst>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1" applyNumberFormat="0" applyAlignment="0" applyProtection="0"/>
  </cellStyleXfs>
  <cellXfs count="26">
    <xf numFmtId="0" fontId="0" fillId="0" borderId="0" xfId="0"/>
    <xf numFmtId="164" fontId="0" fillId="0" borderId="0" xfId="0" applyNumberFormat="1"/>
    <xf numFmtId="164" fontId="1" fillId="2" borderId="0" xfId="1" applyNumberForma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3" borderId="2" xfId="2" applyBorder="1" applyAlignment="1">
      <alignment horizontal="center"/>
    </xf>
    <xf numFmtId="0" fontId="3" fillId="4" borderId="1" xfId="3" applyAlignment="1">
      <alignment horizontal="center"/>
    </xf>
    <xf numFmtId="0" fontId="4" fillId="5" borderId="1" xfId="4" applyAlignment="1">
      <alignment horizontal="center"/>
    </xf>
    <xf numFmtId="0" fontId="0" fillId="0" borderId="0" xfId="0" applyNumberFormat="1"/>
    <xf numFmtId="0" fontId="0" fillId="6" borderId="0" xfId="0" applyFill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7" borderId="0" xfId="0" applyFill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8" borderId="0" xfId="0" applyFill="1"/>
    <xf numFmtId="0" fontId="1" fillId="2" borderId="7" xfId="1" applyBorder="1"/>
    <xf numFmtId="0" fontId="1" fillId="2" borderId="8" xfId="1" applyBorder="1"/>
    <xf numFmtId="164" fontId="0" fillId="0" borderId="8" xfId="0" applyNumberFormat="1" applyBorder="1"/>
    <xf numFmtId="0" fontId="0" fillId="0" borderId="8" xfId="0" applyNumberFormat="1" applyBorder="1"/>
    <xf numFmtId="0" fontId="0" fillId="0" borderId="9" xfId="0" applyNumberFormat="1" applyBorder="1"/>
    <xf numFmtId="3" fontId="0" fillId="6" borderId="3" xfId="0" applyNumberFormat="1" applyFill="1" applyBorder="1"/>
  </cellXfs>
  <cellStyles count="5">
    <cellStyle name="Bom" xfId="1" builtinId="26"/>
    <cellStyle name="Cálculo" xfId="4" builtinId="22"/>
    <cellStyle name="Entrada" xfId="3" builtinId="20"/>
    <cellStyle name="Neutro" xfId="2" builtinId="28"/>
    <cellStyle name="Normal" xfId="0" builtinId="0"/>
  </cellStyles>
  <dxfs count="6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\ #,##0.00"/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164" formatCode="&quot;R$&quot;\ #,##0.00"/>
    </dxf>
  </dxfs>
  <tableStyles count="0" defaultTableStyle="TableStyleMedium2" defaultPivotStyle="PivotStyleLight16"/>
  <colors>
    <mruColors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Vendedor de Meias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MEIAS!$B$1</c:f>
              <c:strCache>
                <c:ptCount val="1"/>
                <c:pt idx="0">
                  <c:v>Kit 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MEIAS!$A$2:$A$5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0</c:v>
                </c:pt>
                <c:pt idx="3">
                  <c:v>21</c:v>
                </c:pt>
              </c:numCache>
            </c:numRef>
          </c:xVal>
          <c:yVal>
            <c:numRef>
              <c:f>MEIAS!$B$2:$B$5</c:f>
              <c:numCache>
                <c:formatCode>General</c:formatCode>
                <c:ptCount val="4"/>
                <c:pt idx="0">
                  <c:v>12</c:v>
                </c:pt>
                <c:pt idx="1">
                  <c:v>0</c:v>
                </c:pt>
                <c:pt idx="2">
                  <c:v>10.5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C-4B21-9844-26671F615FBC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812372704"/>
        <c:axId val="819850496"/>
      </c:scatterChart>
      <c:valAx>
        <c:axId val="81237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KIT 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9850496"/>
        <c:crosses val="autoZero"/>
        <c:crossBetween val="midCat"/>
        <c:majorUnit val="1"/>
      </c:valAx>
      <c:valAx>
        <c:axId val="81985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KIT 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2372704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Marcenaria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MARCENARIA!$B$1</c:f>
              <c:strCache>
                <c:ptCount val="1"/>
                <c:pt idx="0">
                  <c:v>Armario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MARCENARIA!$A$2:$A$5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4</c:v>
                </c:pt>
              </c:numCache>
            </c:numRef>
          </c:xVal>
          <c:yVal>
            <c:numRef>
              <c:f>MARCENARIA!$B$2:$B$5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5D-4ED3-AA58-DFDB0DDC886F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812372704"/>
        <c:axId val="819850496"/>
      </c:scatterChart>
      <c:valAx>
        <c:axId val="81237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Mesa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9850496"/>
        <c:crosses val="autoZero"/>
        <c:crossBetween val="midCat"/>
        <c:majorUnit val="1"/>
      </c:valAx>
      <c:valAx>
        <c:axId val="81985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Armario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2372704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BRINQUEDOS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'FABRICA DE BRINQUEDOS'!$B$1</c:f>
              <c:strCache>
                <c:ptCount val="1"/>
                <c:pt idx="0">
                  <c:v>B2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'FABRICA DE BRINQUEDOS'!$A$2:$A$8</c:f>
              <c:numCache>
                <c:formatCode>General</c:formatCode>
                <c:ptCount val="7"/>
                <c:pt idx="0">
                  <c:v>0</c:v>
                </c:pt>
                <c:pt idx="1">
                  <c:v>500</c:v>
                </c:pt>
                <c:pt idx="2">
                  <c:v>0</c:v>
                </c:pt>
                <c:pt idx="3">
                  <c:v>800</c:v>
                </c:pt>
                <c:pt idx="4">
                  <c:v>0</c:v>
                </c:pt>
                <c:pt idx="5">
                  <c:v>700</c:v>
                </c:pt>
                <c:pt idx="6">
                  <c:v>320</c:v>
                </c:pt>
              </c:numCache>
            </c:numRef>
          </c:xVal>
          <c:yVal>
            <c:numRef>
              <c:f>'FABRICA DE BRINQUEDOS'!$B$2:$B$8</c:f>
              <c:numCache>
                <c:formatCode>General</c:formatCode>
                <c:ptCount val="7"/>
                <c:pt idx="0">
                  <c:v>1000</c:v>
                </c:pt>
                <c:pt idx="1">
                  <c:v>0</c:v>
                </c:pt>
                <c:pt idx="2">
                  <c:v>600</c:v>
                </c:pt>
                <c:pt idx="3">
                  <c:v>0</c:v>
                </c:pt>
                <c:pt idx="4">
                  <c:v>700</c:v>
                </c:pt>
                <c:pt idx="5">
                  <c:v>0</c:v>
                </c:pt>
                <c:pt idx="6">
                  <c:v>360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2D-4E6C-A597-134514F272BD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812372704"/>
        <c:axId val="819850496"/>
      </c:scatterChart>
      <c:valAx>
        <c:axId val="812372704"/>
        <c:scaling>
          <c:orientation val="minMax"/>
          <c:max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B1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9850496"/>
        <c:crosses val="autoZero"/>
        <c:crossBetween val="midCat"/>
        <c:majorUnit val="30"/>
      </c:valAx>
      <c:valAx>
        <c:axId val="81985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B2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2372704"/>
        <c:crosses val="autoZero"/>
        <c:crossBetween val="midCat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FANTASIAS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'FABRICA DE FANTASIAS'!$B$1</c:f>
              <c:strCache>
                <c:ptCount val="1"/>
                <c:pt idx="0">
                  <c:v>M2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'FABRICA DE FANTASIAS'!$A$2:$A$9</c:f>
              <c:numCache>
                <c:formatCode>General</c:formatCode>
                <c:ptCount val="8"/>
                <c:pt idx="0">
                  <c:v>0</c:v>
                </c:pt>
                <c:pt idx="1">
                  <c:v>8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15</c:v>
                </c:pt>
                <c:pt idx="6">
                  <c:v>3</c:v>
                </c:pt>
                <c:pt idx="7">
                  <c:v>7</c:v>
                </c:pt>
              </c:numCache>
            </c:numRef>
          </c:xVal>
          <c:yVal>
            <c:numRef>
              <c:f>'FABRICA DE FANTASIAS'!$B$2:$B$9</c:f>
              <c:numCache>
                <c:formatCode>General</c:formatCode>
                <c:ptCount val="8"/>
                <c:pt idx="0">
                  <c:v>16</c:v>
                </c:pt>
                <c:pt idx="1">
                  <c:v>0</c:v>
                </c:pt>
                <c:pt idx="2">
                  <c:v>5.5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4</c:v>
                </c:pt>
                <c:pt idx="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5E-4360-B549-C6686668E7DC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812372704"/>
        <c:axId val="819850496"/>
      </c:scatterChart>
      <c:valAx>
        <c:axId val="81237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9850496"/>
        <c:crosses val="autoZero"/>
        <c:crossBetween val="midCat"/>
        <c:majorUnit val="1"/>
      </c:valAx>
      <c:valAx>
        <c:axId val="81985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2372704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BARCO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BARCO!$B$1</c:f>
              <c:strCache>
                <c:ptCount val="1"/>
                <c:pt idx="0">
                  <c:v>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BARCO!$A$2:$A$9</c:f>
              <c:numCache>
                <c:formatCode>General</c:formatCode>
                <c:ptCount val="8"/>
                <c:pt idx="0" formatCode="#,##0">
                  <c:v>85</c:v>
                </c:pt>
                <c:pt idx="1">
                  <c:v>0</c:v>
                </c:pt>
                <c:pt idx="2">
                  <c:v>0</c:v>
                </c:pt>
                <c:pt idx="3">
                  <c:v>350</c:v>
                </c:pt>
                <c:pt idx="4">
                  <c:v>0</c:v>
                </c:pt>
                <c:pt idx="5">
                  <c:v>160</c:v>
                </c:pt>
                <c:pt idx="6">
                  <c:v>85</c:v>
                </c:pt>
                <c:pt idx="7">
                  <c:v>30</c:v>
                </c:pt>
              </c:numCache>
            </c:numRef>
          </c:xVal>
          <c:yVal>
            <c:numRef>
              <c:f>BARCO!$B$2:$B$9</c:f>
              <c:numCache>
                <c:formatCode>General</c:formatCode>
                <c:ptCount val="8"/>
                <c:pt idx="0">
                  <c:v>0</c:v>
                </c:pt>
                <c:pt idx="1">
                  <c:v>100</c:v>
                </c:pt>
                <c:pt idx="2">
                  <c:v>175</c:v>
                </c:pt>
                <c:pt idx="3">
                  <c:v>0</c:v>
                </c:pt>
                <c:pt idx="4">
                  <c:v>160</c:v>
                </c:pt>
                <c:pt idx="5">
                  <c:v>0</c:v>
                </c:pt>
                <c:pt idx="6">
                  <c:v>75</c:v>
                </c:pt>
                <c:pt idx="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98-4B57-8D91-5C42A2A34610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812372704"/>
        <c:axId val="819850496"/>
      </c:scatterChart>
      <c:valAx>
        <c:axId val="81237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9850496"/>
        <c:crosses val="autoZero"/>
        <c:crossBetween val="midCat"/>
        <c:majorUnit val="5"/>
      </c:valAx>
      <c:valAx>
        <c:axId val="81985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2372704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200024</xdr:colOff>
      <xdr:row>0</xdr:row>
      <xdr:rowOff>61911</xdr:rowOff>
    </xdr:from>
    <xdr:to>
      <xdr:col>15</xdr:col>
      <xdr:colOff>571500</xdr:colOff>
      <xdr:row>23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60CF9AF-73D2-4926-B966-6CD75233F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0.08882</cdr:x>
      <cdr:y>0.17744</cdr:y>
    </cdr:from>
    <cdr:to>
      <cdr:x>0.55081</cdr:x>
      <cdr:y>0.86329</cdr:y>
    </cdr:to>
    <cdr:cxnSp macro="">
      <cdr:nvCxnSpPr>
        <cdr:cNvPr id="3" name="Conector reto 2">
          <a:extLst xmlns:a="http://schemas.openxmlformats.org/drawingml/2006/main">
            <a:ext uri="{FF2B5EF4-FFF2-40B4-BE49-F238E27FC236}">
              <a16:creationId xmlns:a16="http://schemas.microsoft.com/office/drawing/2014/main" id="{53B67C5C-88D4-4324-AB54-28342AD98FE6}"/>
            </a:ext>
          </a:extLst>
        </cdr:cNvPr>
        <cdr:cNvCxnSpPr/>
      </cdr:nvCxnSpPr>
      <cdr:spPr>
        <a:xfrm xmlns:a="http://schemas.openxmlformats.org/drawingml/2006/main">
          <a:off x="574448" y="766476"/>
          <a:ext cx="2987903" cy="296256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0.08423</cdr:x>
      <cdr:y>0.25722</cdr:y>
    </cdr:from>
    <cdr:to>
      <cdr:x>0.89249</cdr:x>
      <cdr:y>0.86329</cdr:y>
    </cdr:to>
    <cdr:cxnSp macro="">
      <cdr:nvCxnSpPr>
        <cdr:cNvPr id="5" name="Conector reto 4">
          <a:extLst xmlns:a="http://schemas.openxmlformats.org/drawingml/2006/main">
            <a:ext uri="{FF2B5EF4-FFF2-40B4-BE49-F238E27FC236}">
              <a16:creationId xmlns:a16="http://schemas.microsoft.com/office/drawing/2014/main" id="{F198E37C-AED7-41C3-93D9-60888376F771}"/>
            </a:ext>
          </a:extLst>
        </cdr:cNvPr>
        <cdr:cNvCxnSpPr/>
      </cdr:nvCxnSpPr>
      <cdr:spPr>
        <a:xfrm xmlns:a="http://schemas.openxmlformats.org/drawingml/2006/main">
          <a:off x="544735" y="1111092"/>
          <a:ext cx="5227416" cy="261794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0.08542</cdr:x>
      <cdr:y>0.34289</cdr:y>
    </cdr:from>
    <cdr:to>
      <cdr:x>0.20471</cdr:x>
      <cdr:y>0.8699</cdr:y>
    </cdr:to>
    <cdr:sp macro="" textlink="">
      <cdr:nvSpPr>
        <cdr:cNvPr id="8" name="Retângulo 7">
          <a:extLst xmlns:a="http://schemas.openxmlformats.org/drawingml/2006/main">
            <a:ext uri="{FF2B5EF4-FFF2-40B4-BE49-F238E27FC236}">
              <a16:creationId xmlns:a16="http://schemas.microsoft.com/office/drawing/2014/main" id="{550D4823-7B28-4307-8AA8-6EA5F26D80B4}"/>
            </a:ext>
          </a:extLst>
        </cdr:cNvPr>
        <cdr:cNvSpPr/>
      </cdr:nvSpPr>
      <cdr:spPr>
        <a:xfrm xmlns:a="http://schemas.openxmlformats.org/drawingml/2006/main">
          <a:off x="552451" y="1481139"/>
          <a:ext cx="771525" cy="2276475"/>
        </a:xfrm>
        <a:prstGeom xmlns:a="http://schemas.openxmlformats.org/drawingml/2006/main" prst="rect">
          <a:avLst/>
        </a:prstGeom>
        <a:pattFill xmlns:a="http://schemas.openxmlformats.org/drawingml/2006/main" prst="wdDnDiag">
          <a:fgClr>
            <a:schemeClr val="accent6">
              <a:lumMod val="75000"/>
            </a:schemeClr>
          </a:fgClr>
          <a:bgClr>
            <a:schemeClr val="bg1"/>
          </a:bgClr>
        </a:pattFill>
        <a:ln xmlns:a="http://schemas.openxmlformats.org/drawingml/2006/main">
          <a:solidFill>
            <a:schemeClr val="tx2">
              <a:alpha val="16000"/>
            </a:schemeClr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200024</xdr:colOff>
      <xdr:row>0</xdr:row>
      <xdr:rowOff>61911</xdr:rowOff>
    </xdr:from>
    <xdr:to>
      <xdr:col>16</xdr:col>
      <xdr:colOff>295275</xdr:colOff>
      <xdr:row>22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D8C49AA-B5E0-4BAB-8748-EF79CF274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0.07658</cdr:x>
      <cdr:y>0.19074</cdr:y>
    </cdr:from>
    <cdr:to>
      <cdr:x>0.58964</cdr:x>
      <cdr:y>0.86207</cdr:y>
    </cdr:to>
    <cdr:cxnSp macro="">
      <cdr:nvCxnSpPr>
        <cdr:cNvPr id="5" name="Conector reto 4">
          <a:extLst xmlns:a="http://schemas.openxmlformats.org/drawingml/2006/main">
            <a:ext uri="{FF2B5EF4-FFF2-40B4-BE49-F238E27FC236}">
              <a16:creationId xmlns:a16="http://schemas.microsoft.com/office/drawing/2014/main" id="{F198E37C-AED7-41C3-93D9-60888376F771}"/>
            </a:ext>
          </a:extLst>
        </cdr:cNvPr>
        <cdr:cNvCxnSpPr/>
      </cdr:nvCxnSpPr>
      <cdr:spPr>
        <a:xfrm xmlns:a="http://schemas.openxmlformats.org/drawingml/2006/main">
          <a:off x="520832" y="816647"/>
          <a:ext cx="3489194" cy="28742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0.07423</cdr:x>
      <cdr:y>0.69299</cdr:y>
    </cdr:from>
    <cdr:to>
      <cdr:x>0.46332</cdr:x>
      <cdr:y>0.86988</cdr:y>
    </cdr:to>
    <cdr:sp macro="" textlink="">
      <cdr:nvSpPr>
        <cdr:cNvPr id="8" name="Retângulo 7">
          <a:extLst xmlns:a="http://schemas.openxmlformats.org/drawingml/2006/main">
            <a:ext uri="{FF2B5EF4-FFF2-40B4-BE49-F238E27FC236}">
              <a16:creationId xmlns:a16="http://schemas.microsoft.com/office/drawing/2014/main" id="{550D4823-7B28-4307-8AA8-6EA5F26D80B4}"/>
            </a:ext>
          </a:extLst>
        </cdr:cNvPr>
        <cdr:cNvSpPr/>
      </cdr:nvSpPr>
      <cdr:spPr>
        <a:xfrm xmlns:a="http://schemas.openxmlformats.org/drawingml/2006/main">
          <a:off x="504827" y="2967039"/>
          <a:ext cx="2646162" cy="757344"/>
        </a:xfrm>
        <a:prstGeom xmlns:a="http://schemas.openxmlformats.org/drawingml/2006/main" prst="rect">
          <a:avLst/>
        </a:prstGeom>
        <a:pattFill xmlns:a="http://schemas.openxmlformats.org/drawingml/2006/main" prst="wdDnDiag">
          <a:fgClr>
            <a:schemeClr val="accent6">
              <a:lumMod val="75000"/>
            </a:schemeClr>
          </a:fgClr>
          <a:bgClr>
            <a:schemeClr val="bg1"/>
          </a:bgClr>
        </a:pattFill>
        <a:ln xmlns:a="http://schemas.openxmlformats.org/drawingml/2006/main">
          <a:solidFill>
            <a:schemeClr val="tx2">
              <a:alpha val="16000"/>
            </a:schemeClr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0.07563</cdr:x>
      <cdr:y>0.52614</cdr:y>
    </cdr:from>
    <cdr:to>
      <cdr:x>0.85014</cdr:x>
      <cdr:y>0.86874</cdr:y>
    </cdr:to>
    <cdr:cxnSp macro="">
      <cdr:nvCxnSpPr>
        <cdr:cNvPr id="9" name="Conector reto 8">
          <a:extLst xmlns:a="http://schemas.openxmlformats.org/drawingml/2006/main">
            <a:ext uri="{FF2B5EF4-FFF2-40B4-BE49-F238E27FC236}">
              <a16:creationId xmlns:a16="http://schemas.microsoft.com/office/drawing/2014/main" id="{6FF22B94-90AB-4F3C-BCDC-110E3292018C}"/>
            </a:ext>
          </a:extLst>
        </cdr:cNvPr>
        <cdr:cNvCxnSpPr/>
      </cdr:nvCxnSpPr>
      <cdr:spPr>
        <a:xfrm xmlns:a="http://schemas.openxmlformats.org/drawingml/2006/main">
          <a:off x="514351" y="2252664"/>
          <a:ext cx="5267325" cy="14668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0</xdr:row>
      <xdr:rowOff>0</xdr:rowOff>
    </xdr:from>
    <xdr:to>
      <xdr:col>23</xdr:col>
      <xdr:colOff>514351</xdr:colOff>
      <xdr:row>33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F8F40C-1945-4EEF-BA43-53A750251C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0.06673</cdr:x>
      <cdr:y>0.11556</cdr:y>
    </cdr:from>
    <cdr:to>
      <cdr:x>0.63577</cdr:x>
      <cdr:y>0.91111</cdr:y>
    </cdr:to>
    <cdr:cxnSp macro="">
      <cdr:nvCxnSpPr>
        <cdr:cNvPr id="5" name="Conector reto 4">
          <a:extLst xmlns:a="http://schemas.openxmlformats.org/drawingml/2006/main">
            <a:ext uri="{FF2B5EF4-FFF2-40B4-BE49-F238E27FC236}">
              <a16:creationId xmlns:a16="http://schemas.microsoft.com/office/drawing/2014/main" id="{F198E37C-AED7-41C3-93D9-60888376F771}"/>
            </a:ext>
          </a:extLst>
        </cdr:cNvPr>
        <cdr:cNvCxnSpPr/>
      </cdr:nvCxnSpPr>
      <cdr:spPr>
        <a:xfrm xmlns:a="http://schemas.openxmlformats.org/drawingml/2006/main">
          <a:off x="685800" y="742950"/>
          <a:ext cx="5848350" cy="51149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0.05561</cdr:x>
      <cdr:y>0.6237</cdr:y>
    </cdr:from>
    <cdr:to>
      <cdr:x>0.43095</cdr:x>
      <cdr:y>0.91407</cdr:y>
    </cdr:to>
    <cdr:sp macro="" textlink="">
      <cdr:nvSpPr>
        <cdr:cNvPr id="8" name="Retângulo 7">
          <a:extLst xmlns:a="http://schemas.openxmlformats.org/drawingml/2006/main">
            <a:ext uri="{FF2B5EF4-FFF2-40B4-BE49-F238E27FC236}">
              <a16:creationId xmlns:a16="http://schemas.microsoft.com/office/drawing/2014/main" id="{550D4823-7B28-4307-8AA8-6EA5F26D80B4}"/>
            </a:ext>
          </a:extLst>
        </cdr:cNvPr>
        <cdr:cNvSpPr/>
      </cdr:nvSpPr>
      <cdr:spPr>
        <a:xfrm xmlns:a="http://schemas.openxmlformats.org/drawingml/2006/main">
          <a:off x="571500" y="4010025"/>
          <a:ext cx="3857625" cy="1866899"/>
        </a:xfrm>
        <a:prstGeom xmlns:a="http://schemas.openxmlformats.org/drawingml/2006/main" prst="rect">
          <a:avLst/>
        </a:prstGeom>
        <a:pattFill xmlns:a="http://schemas.openxmlformats.org/drawingml/2006/main" prst="wdDnDiag">
          <a:fgClr>
            <a:schemeClr val="accent6">
              <a:lumMod val="75000"/>
            </a:schemeClr>
          </a:fgClr>
          <a:bgClr>
            <a:schemeClr val="bg1"/>
          </a:bgClr>
        </a:pattFill>
        <a:ln xmlns:a="http://schemas.openxmlformats.org/drawingml/2006/main">
          <a:solidFill>
            <a:schemeClr val="tx2">
              <a:alpha val="16000"/>
            </a:schemeClr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0.06506</cdr:x>
      <cdr:y>0.43201</cdr:y>
    </cdr:from>
    <cdr:to>
      <cdr:x>0.97868</cdr:x>
      <cdr:y>0.90963</cdr:y>
    </cdr:to>
    <cdr:cxnSp macro="">
      <cdr:nvCxnSpPr>
        <cdr:cNvPr id="9" name="Conector reto 8">
          <a:extLst xmlns:a="http://schemas.openxmlformats.org/drawingml/2006/main">
            <a:ext uri="{FF2B5EF4-FFF2-40B4-BE49-F238E27FC236}">
              <a16:creationId xmlns:a16="http://schemas.microsoft.com/office/drawing/2014/main" id="{6FF22B94-90AB-4F3C-BCDC-110E3292018C}"/>
            </a:ext>
          </a:extLst>
        </cdr:cNvPr>
        <cdr:cNvCxnSpPr/>
      </cdr:nvCxnSpPr>
      <cdr:spPr>
        <a:xfrm xmlns:a="http://schemas.openxmlformats.org/drawingml/2006/main">
          <a:off x="668610" y="2777579"/>
          <a:ext cx="9389790" cy="307077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0.06691</cdr:x>
      <cdr:y>0.35628</cdr:y>
    </cdr:from>
    <cdr:to>
      <cdr:x>0.86469</cdr:x>
      <cdr:y>0.91407</cdr:y>
    </cdr:to>
    <cdr:cxnSp macro="">
      <cdr:nvCxnSpPr>
        <cdr:cNvPr id="17" name="Conector reto 16">
          <a:extLst xmlns:a="http://schemas.openxmlformats.org/drawingml/2006/main">
            <a:ext uri="{FF2B5EF4-FFF2-40B4-BE49-F238E27FC236}">
              <a16:creationId xmlns:a16="http://schemas.microsoft.com/office/drawing/2014/main" id="{E0DA861A-7626-43F8-A5F5-814BBB4A6B0A}"/>
            </a:ext>
          </a:extLst>
        </cdr:cNvPr>
        <cdr:cNvCxnSpPr/>
      </cdr:nvCxnSpPr>
      <cdr:spPr>
        <a:xfrm xmlns:a="http://schemas.openxmlformats.org/drawingml/2006/main">
          <a:off x="687713" y="2290672"/>
          <a:ext cx="8199112" cy="3586253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6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0</xdr:row>
      <xdr:rowOff>0</xdr:rowOff>
    </xdr:from>
    <xdr:to>
      <xdr:col>23</xdr:col>
      <xdr:colOff>514351</xdr:colOff>
      <xdr:row>33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DEACCF-70A3-4C6C-B602-68E674321F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0.05468</cdr:x>
      <cdr:y>0.15556</cdr:y>
    </cdr:from>
    <cdr:to>
      <cdr:x>0.52117</cdr:x>
      <cdr:y>0.90806</cdr:y>
    </cdr:to>
    <cdr:cxnSp macro="">
      <cdr:nvCxnSpPr>
        <cdr:cNvPr id="5" name="Conector reto 4">
          <a:extLst xmlns:a="http://schemas.openxmlformats.org/drawingml/2006/main">
            <a:ext uri="{FF2B5EF4-FFF2-40B4-BE49-F238E27FC236}">
              <a16:creationId xmlns:a16="http://schemas.microsoft.com/office/drawing/2014/main" id="{F198E37C-AED7-41C3-93D9-60888376F771}"/>
            </a:ext>
          </a:extLst>
        </cdr:cNvPr>
        <cdr:cNvCxnSpPr/>
      </cdr:nvCxnSpPr>
      <cdr:spPr>
        <a:xfrm xmlns:a="http://schemas.openxmlformats.org/drawingml/2006/main">
          <a:off x="561975" y="1000125"/>
          <a:ext cx="4794369" cy="483814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0.05669</cdr:x>
      <cdr:y>0.81743</cdr:y>
    </cdr:from>
    <cdr:to>
      <cdr:x>0.46295</cdr:x>
      <cdr:y>0.91053</cdr:y>
    </cdr:to>
    <cdr:sp macro="" textlink="">
      <cdr:nvSpPr>
        <cdr:cNvPr id="8" name="Retângulo 7">
          <a:extLst xmlns:a="http://schemas.openxmlformats.org/drawingml/2006/main">
            <a:ext uri="{FF2B5EF4-FFF2-40B4-BE49-F238E27FC236}">
              <a16:creationId xmlns:a16="http://schemas.microsoft.com/office/drawing/2014/main" id="{550D4823-7B28-4307-8AA8-6EA5F26D80B4}"/>
            </a:ext>
          </a:extLst>
        </cdr:cNvPr>
        <cdr:cNvSpPr/>
      </cdr:nvSpPr>
      <cdr:spPr>
        <a:xfrm xmlns:a="http://schemas.openxmlformats.org/drawingml/2006/main">
          <a:off x="578350" y="5255559"/>
          <a:ext cx="4144369" cy="598548"/>
        </a:xfrm>
        <a:prstGeom xmlns:a="http://schemas.openxmlformats.org/drawingml/2006/main" prst="rect">
          <a:avLst/>
        </a:prstGeom>
        <a:pattFill xmlns:a="http://schemas.openxmlformats.org/drawingml/2006/main" prst="wdDnDiag">
          <a:fgClr>
            <a:schemeClr val="accent6">
              <a:lumMod val="75000"/>
            </a:schemeClr>
          </a:fgClr>
          <a:bgClr>
            <a:schemeClr val="bg1"/>
          </a:bgClr>
        </a:pattFill>
        <a:ln xmlns:a="http://schemas.openxmlformats.org/drawingml/2006/main">
          <a:solidFill>
            <a:schemeClr val="tx2">
              <a:alpha val="16000"/>
            </a:schemeClr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0.05746</cdr:x>
      <cdr:y>0.67556</cdr:y>
    </cdr:from>
    <cdr:to>
      <cdr:x>0.92322</cdr:x>
      <cdr:y>0.90806</cdr:y>
    </cdr:to>
    <cdr:cxnSp macro="">
      <cdr:nvCxnSpPr>
        <cdr:cNvPr id="9" name="Conector reto 8">
          <a:extLst xmlns:a="http://schemas.openxmlformats.org/drawingml/2006/main">
            <a:ext uri="{FF2B5EF4-FFF2-40B4-BE49-F238E27FC236}">
              <a16:creationId xmlns:a16="http://schemas.microsoft.com/office/drawing/2014/main" id="{6FF22B94-90AB-4F3C-BCDC-110E3292018C}"/>
            </a:ext>
          </a:extLst>
        </cdr:cNvPr>
        <cdr:cNvCxnSpPr/>
      </cdr:nvCxnSpPr>
      <cdr:spPr>
        <a:xfrm xmlns:a="http://schemas.openxmlformats.org/drawingml/2006/main">
          <a:off x="590550" y="4343400"/>
          <a:ext cx="8897783" cy="149486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0.05375</cdr:x>
      <cdr:y>0.65185</cdr:y>
    </cdr:from>
    <cdr:to>
      <cdr:x>0.69583</cdr:x>
      <cdr:y>0.9098</cdr:y>
    </cdr:to>
    <cdr:cxnSp macro="">
      <cdr:nvCxnSpPr>
        <cdr:cNvPr id="17" name="Conector reto 16">
          <a:extLst xmlns:a="http://schemas.openxmlformats.org/drawingml/2006/main">
            <a:ext uri="{FF2B5EF4-FFF2-40B4-BE49-F238E27FC236}">
              <a16:creationId xmlns:a16="http://schemas.microsoft.com/office/drawing/2014/main" id="{E0DA861A-7626-43F8-A5F5-814BBB4A6B0A}"/>
            </a:ext>
          </a:extLst>
        </cdr:cNvPr>
        <cdr:cNvCxnSpPr/>
      </cdr:nvCxnSpPr>
      <cdr:spPr>
        <a:xfrm xmlns:a="http://schemas.openxmlformats.org/drawingml/2006/main">
          <a:off x="552450" y="4191000"/>
          <a:ext cx="6598938" cy="165847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6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230281</xdr:colOff>
      <xdr:row>0</xdr:row>
      <xdr:rowOff>0</xdr:rowOff>
    </xdr:from>
    <xdr:to>
      <xdr:col>34</xdr:col>
      <xdr:colOff>201706</xdr:colOff>
      <xdr:row>36</xdr:row>
      <xdr:rowOff>67234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563817-3934-4A79-82F5-6890FCCFF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0.0381</cdr:x>
      <cdr:y>0.47097</cdr:y>
    </cdr:from>
    <cdr:to>
      <cdr:x>0.89419</cdr:x>
      <cdr:y>0.47419</cdr:y>
    </cdr:to>
    <cdr:cxnSp macro="">
      <cdr:nvCxnSpPr>
        <cdr:cNvPr id="5" name="Conector reto 4">
          <a:extLst xmlns:a="http://schemas.openxmlformats.org/drawingml/2006/main">
            <a:ext uri="{FF2B5EF4-FFF2-40B4-BE49-F238E27FC236}">
              <a16:creationId xmlns:a16="http://schemas.microsoft.com/office/drawing/2014/main" id="{F198E37C-AED7-41C3-93D9-60888376F771}"/>
            </a:ext>
          </a:extLst>
        </cdr:cNvPr>
        <cdr:cNvCxnSpPr/>
      </cdr:nvCxnSpPr>
      <cdr:spPr>
        <a:xfrm xmlns:a="http://schemas.openxmlformats.org/drawingml/2006/main">
          <a:off x="621366" y="3272118"/>
          <a:ext cx="13962530" cy="2241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0.03576</cdr:x>
      <cdr:y>0.47467</cdr:y>
    </cdr:from>
    <cdr:to>
      <cdr:x>0.19338</cdr:x>
      <cdr:y>0.92419</cdr:y>
    </cdr:to>
    <cdr:sp macro="" textlink="">
      <cdr:nvSpPr>
        <cdr:cNvPr id="8" name="Retângulo 7">
          <a:extLst xmlns:a="http://schemas.openxmlformats.org/drawingml/2006/main">
            <a:ext uri="{FF2B5EF4-FFF2-40B4-BE49-F238E27FC236}">
              <a16:creationId xmlns:a16="http://schemas.microsoft.com/office/drawing/2014/main" id="{550D4823-7B28-4307-8AA8-6EA5F26D80B4}"/>
            </a:ext>
          </a:extLst>
        </cdr:cNvPr>
        <cdr:cNvSpPr/>
      </cdr:nvSpPr>
      <cdr:spPr>
        <a:xfrm xmlns:a="http://schemas.openxmlformats.org/drawingml/2006/main">
          <a:off x="583239" y="3297811"/>
          <a:ext cx="2570657" cy="3123159"/>
        </a:xfrm>
        <a:prstGeom xmlns:a="http://schemas.openxmlformats.org/drawingml/2006/main" prst="rect">
          <a:avLst/>
        </a:prstGeom>
        <a:pattFill xmlns:a="http://schemas.openxmlformats.org/drawingml/2006/main" prst="wdDnDiag">
          <a:fgClr>
            <a:schemeClr val="accent6">
              <a:lumMod val="75000"/>
            </a:schemeClr>
          </a:fgClr>
          <a:bgClr>
            <a:schemeClr val="bg1"/>
          </a:bgClr>
        </a:pattFill>
        <a:ln xmlns:a="http://schemas.openxmlformats.org/drawingml/2006/main">
          <a:solidFill>
            <a:schemeClr val="tx2">
              <a:alpha val="16000"/>
            </a:schemeClr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0.0381</cdr:x>
      <cdr:y>0.20806</cdr:y>
    </cdr:from>
    <cdr:to>
      <cdr:x>0.44828</cdr:x>
      <cdr:y>0.91613</cdr:y>
    </cdr:to>
    <cdr:cxnSp macro="">
      <cdr:nvCxnSpPr>
        <cdr:cNvPr id="9" name="Conector reto 8">
          <a:extLst xmlns:a="http://schemas.openxmlformats.org/drawingml/2006/main">
            <a:ext uri="{FF2B5EF4-FFF2-40B4-BE49-F238E27FC236}">
              <a16:creationId xmlns:a16="http://schemas.microsoft.com/office/drawing/2014/main" id="{6FF22B94-90AB-4F3C-BCDC-110E3292018C}"/>
            </a:ext>
          </a:extLst>
        </cdr:cNvPr>
        <cdr:cNvCxnSpPr/>
      </cdr:nvCxnSpPr>
      <cdr:spPr>
        <a:xfrm xmlns:a="http://schemas.openxmlformats.org/drawingml/2006/main">
          <a:off x="621366" y="1445559"/>
          <a:ext cx="6689912" cy="491938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0.25521</cdr:x>
      <cdr:y>0.09355</cdr:y>
    </cdr:from>
    <cdr:to>
      <cdr:x>0.25659</cdr:x>
      <cdr:y>0.91613</cdr:y>
    </cdr:to>
    <cdr:cxnSp macro="">
      <cdr:nvCxnSpPr>
        <cdr:cNvPr id="17" name="Conector reto 16">
          <a:extLst xmlns:a="http://schemas.openxmlformats.org/drawingml/2006/main">
            <a:ext uri="{FF2B5EF4-FFF2-40B4-BE49-F238E27FC236}">
              <a16:creationId xmlns:a16="http://schemas.microsoft.com/office/drawing/2014/main" id="{E0DA861A-7626-43F8-A5F5-814BBB4A6B0A}"/>
            </a:ext>
          </a:extLst>
        </cdr:cNvPr>
        <cdr:cNvCxnSpPr/>
      </cdr:nvCxnSpPr>
      <cdr:spPr>
        <a:xfrm xmlns:a="http://schemas.openxmlformats.org/drawingml/2006/main">
          <a:off x="4162425" y="649941"/>
          <a:ext cx="22412" cy="57150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6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0.03672</cdr:x>
      <cdr:y>0.1371</cdr:y>
    </cdr:from>
    <cdr:to>
      <cdr:x>0.93542</cdr:x>
      <cdr:y>0.91613</cdr:y>
    </cdr:to>
    <cdr:cxnSp macro="">
      <cdr:nvCxnSpPr>
        <cdr:cNvPr id="26" name="Conector reto 25">
          <a:extLst xmlns:a="http://schemas.openxmlformats.org/drawingml/2006/main">
            <a:ext uri="{FF2B5EF4-FFF2-40B4-BE49-F238E27FC236}">
              <a16:creationId xmlns:a16="http://schemas.microsoft.com/office/drawing/2014/main" id="{AD5B0180-21AA-4728-8B91-CB2CE3829D3E}"/>
            </a:ext>
          </a:extLst>
        </cdr:cNvPr>
        <cdr:cNvCxnSpPr/>
      </cdr:nvCxnSpPr>
      <cdr:spPr>
        <a:xfrm xmlns:a="http://schemas.openxmlformats.org/drawingml/2006/main">
          <a:off x="598955" y="952500"/>
          <a:ext cx="14657294" cy="541244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0.03535</cdr:x>
      <cdr:y>0.58387</cdr:y>
    </cdr:from>
    <cdr:to>
      <cdr:x>0.2559</cdr:x>
      <cdr:y>0.92136</cdr:y>
    </cdr:to>
    <cdr:sp macro="" textlink="">
      <cdr:nvSpPr>
        <cdr:cNvPr id="28" name="Retângulo 27">
          <a:extLst xmlns:a="http://schemas.openxmlformats.org/drawingml/2006/main">
            <a:ext uri="{FF2B5EF4-FFF2-40B4-BE49-F238E27FC236}">
              <a16:creationId xmlns:a16="http://schemas.microsoft.com/office/drawing/2014/main" id="{CA174F3C-0E47-42CB-8140-99DD63837FEA}"/>
            </a:ext>
          </a:extLst>
        </cdr:cNvPr>
        <cdr:cNvSpPr/>
      </cdr:nvSpPr>
      <cdr:spPr>
        <a:xfrm xmlns:a="http://schemas.openxmlformats.org/drawingml/2006/main">
          <a:off x="576544" y="4056529"/>
          <a:ext cx="3597088" cy="2344724"/>
        </a:xfrm>
        <a:prstGeom xmlns:a="http://schemas.openxmlformats.org/drawingml/2006/main" prst="rect">
          <a:avLst/>
        </a:prstGeom>
        <a:pattFill xmlns:a="http://schemas.openxmlformats.org/drawingml/2006/main" prst="wdDnDiag">
          <a:fgClr>
            <a:srgbClr val="7030A0"/>
          </a:fgClr>
          <a:bgClr>
            <a:schemeClr val="bg1"/>
          </a:bgClr>
        </a:pattFill>
        <a:ln xmlns:a="http://schemas.openxmlformats.org/drawingml/2006/main">
          <a:solidFill>
            <a:schemeClr val="tx2">
              <a:alpha val="86000"/>
            </a:schemeClr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/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92EF86-C117-4AAB-83FC-A9F29285C342}" name="Tabela1" displayName="Tabela1" ref="A1:E6" totalsRowShown="0">
  <autoFilter ref="A1:E6" xr:uid="{CBAE266A-04DC-45EF-8B1A-B772638344D1}"/>
  <tableColumns count="5">
    <tableColumn id="1" xr3:uid="{CD3C573B-0C34-40C3-BE2D-4CC62EED4169}" name="Kit A"/>
    <tableColumn id="2" xr3:uid="{233C09F4-EFE5-4067-8D0A-727EFB3A34C6}" name="Kit B"/>
    <tableColumn id="3" xr3:uid="{6E957160-AEF8-4502-A6F9-A254FB709B69}" name="Função Objetivo" dataDxfId="67">
      <calculatedColumnFormula>6*A2+8*B2</calculatedColumnFormula>
    </tableColumn>
    <tableColumn id="4" xr3:uid="{5E73BE8E-91D0-4391-B883-BB1694E2FB56}" name="R1 = Algodão">
      <calculatedColumnFormula>2*A2+2*B2</calculatedColumnFormula>
    </tableColumn>
    <tableColumn id="5" xr3:uid="{8FB0880A-DD5D-4790-A7A9-6C286EF0FC49}" name="R2 = Lã">
      <calculatedColumnFormula>4*A2+8*B2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361A9C-2C96-47F8-BF3F-984C47D8792C}" name="Tabela13" displayName="Tabela13" ref="A1:E6" totalsRowShown="0">
  <autoFilter ref="A1:E6" xr:uid="{CBAE266A-04DC-45EF-8B1A-B772638344D1}"/>
  <tableColumns count="5">
    <tableColumn id="1" xr3:uid="{243F2FF8-6FFB-48E8-A0A8-9E27635C554E}" name="Mesa"/>
    <tableColumn id="2" xr3:uid="{936CC617-A79F-4905-94F7-13BFF79EEC6B}" name="Armario"/>
    <tableColumn id="3" xr3:uid="{D6BAF88C-0AE3-4255-B2FA-BA17ABA26915}" name="Função Objetivo" dataDxfId="66">
      <calculatedColumnFormula>4*A2+3*B2</calculatedColumnFormula>
    </tableColumn>
    <tableColumn id="4" xr3:uid="{963FD4E7-90E3-4ECF-90B5-A6A166678D50}" name="R1 = Algodão" dataDxfId="65">
      <calculatedColumnFormula>2*A2+3*B2</calculatedColumnFormula>
    </tableColumn>
    <tableColumn id="5" xr3:uid="{12F9FD07-8BE4-4AB5-8264-89A97F8C4BAE}" name="R2 = Lã" dataDxfId="64">
      <calculatedColumnFormula>2*A2+1*B2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E9F9F4-33C9-4351-8E5E-FE895863D27C}" name="Tabela134" displayName="Tabela134" ref="A1:F8" totalsRowShown="0">
  <autoFilter ref="A1:F8" xr:uid="{CBAE266A-04DC-45EF-8B1A-B772638344D1}"/>
  <tableColumns count="6">
    <tableColumn id="1" xr3:uid="{7142BF79-17B1-4B0B-A34F-7AAA22690851}" name="B1"/>
    <tableColumn id="2" xr3:uid="{253F461F-5BA1-4522-9AFC-63887ECB9A1D}" name="B2"/>
    <tableColumn id="3" xr3:uid="{84FA9468-B4BC-439B-B885-B2CD2410F99D}" name="Função Objetivo" dataDxfId="63">
      <calculatedColumnFormula>8*A2+5*B2</calculatedColumnFormula>
    </tableColumn>
    <tableColumn id="4" xr3:uid="{5B8EF21A-EE8A-4503-A5BB-136726CBDF0B}" name="R1 = Plastico" dataDxfId="62">
      <calculatedColumnFormula>2*A2+1*B2</calculatedColumnFormula>
    </tableColumn>
    <tableColumn id="5" xr3:uid="{030ED1E5-1D2C-422B-9F13-1D61EBCD9D19}" name="R2 = M.O." dataDxfId="61">
      <calculatedColumnFormula>3*A2+4*B2</calculatedColumnFormula>
    </tableColumn>
    <tableColumn id="6" xr3:uid="{7CE4A843-9C9A-4225-A098-090E08502E57}" name="R3=MKT" dataDxfId="60">
      <calculatedColumnFormula>A2+B2</calculatedColumn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1801BC-FE1F-4697-A185-FFCA42E25099}" name="Tabela1346" displayName="Tabela1346" ref="A1:F9" totalsRowShown="0">
  <autoFilter ref="A1:F9" xr:uid="{CBAE266A-04DC-45EF-8B1A-B772638344D1}"/>
  <tableColumns count="6">
    <tableColumn id="1" xr3:uid="{FD3EED3F-96B3-4FDE-AFC1-CF9AB480BDFD}" name="M1"/>
    <tableColumn id="2" xr3:uid="{D6586624-7B2C-4F00-9453-AC439F616919}" name="M2"/>
    <tableColumn id="3" xr3:uid="{429BC477-66F4-478A-926F-E64E52559C3F}" name="Função Objetivo" dataDxfId="59">
      <calculatedColumnFormula>300*A2+500*B2</calculatedColumnFormula>
    </tableColumn>
    <tableColumn id="4" xr3:uid="{1CF4E565-70C8-4C29-89F5-04FD354176A2}" name="R1 = BRIM" dataDxfId="58">
      <calculatedColumnFormula>4*A2+2*B2</calculatedColumnFormula>
    </tableColumn>
    <tableColumn id="5" xr3:uid="{89C0C742-1380-43DB-B89E-4A4E165CA1CF}" name="R2 = SEDA" dataDxfId="57">
      <calculatedColumnFormula>2*A2+4*B2</calculatedColumnFormula>
    </tableColumn>
    <tableColumn id="6" xr3:uid="{584571AF-6EE5-49D0-8E7E-3814C85D9368}" name="R3=CETIM" dataDxfId="56">
      <calculatedColumnFormula>2*A2+6*B2</calculatedColumnFormula>
    </tableColumn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FF2970B-E0AC-41B6-9EB1-FD026D58DD9F}" name="Tabela13467" displayName="Tabela13467" ref="A1:G9" totalsRowShown="0">
  <autoFilter ref="A1:G9" xr:uid="{CBAE266A-04DC-45EF-8B1A-B772638344D1}"/>
  <tableColumns count="7">
    <tableColumn id="1" xr3:uid="{BEDCB459-658A-48BA-BAB3-B60F1BE82A96}" name="C"/>
    <tableColumn id="2" xr3:uid="{B12FF819-3198-4046-880B-F57B166EE056}" name="G"/>
    <tableColumn id="3" xr3:uid="{8D0F86AF-1313-4F43-B1FA-0B0C139C49B3}" name="Função Objetivo" dataDxfId="55">
      <calculatedColumnFormula>0.35*A2+0.12*B2</calculatedColumnFormula>
    </tableColumn>
    <tableColumn id="4" xr3:uid="{FB68FF3A-4860-40D1-8C87-437DC263A7E6}" name="R1 = CARNE" dataDxfId="54">
      <calculatedColumnFormula>Tabela13467[[#This Row],[C]]</calculatedColumnFormula>
    </tableColumn>
    <tableColumn id="5" xr3:uid="{51987C58-626D-4410-BDF7-28722C354186}" name="R2 = GRÃO" dataDxfId="53">
      <calculatedColumnFormula>Tabela13467[[#This Row],[G]]</calculatedColumnFormula>
    </tableColumn>
    <tableColumn id="6" xr3:uid="{272BC6B7-E1DF-4A0B-8B9D-EF6ACAD22ADD}" name="R3=ESPAÇO NAVIO" dataDxfId="52">
      <calculatedColumnFormula>0.2*A2+0.4*B2</calculatedColumnFormula>
    </tableColumn>
    <tableColumn id="7" xr3:uid="{3B766D69-B18A-4888-A22A-5028240B0F29}" name="R4= CPC EM KG" dataDxfId="51">
      <calculatedColumnFormula>A2+B2</calculatedColumnFormula>
    </tableColumn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3E25B8C-242D-4EF5-8F23-ECF39180D0EA}" name="Tabela134679" displayName="Tabela134679" ref="A28:G36" totalsRowShown="0">
  <autoFilter ref="A28:G36" xr:uid="{C84A06B6-2522-4BC3-AE72-C77D9276D38E}"/>
  <tableColumns count="7">
    <tableColumn id="1" xr3:uid="{A3831E57-CE77-4DC8-922B-34B66CEDBBA4}" name="C"/>
    <tableColumn id="2" xr3:uid="{3ED68ABD-0E71-41BB-A50F-7D5BA3D80E0C}" name="G"/>
    <tableColumn id="3" xr3:uid="{19B4EDC3-B38E-4E10-82F1-2FA6714E8139}" name="Função Objetivo" dataDxfId="36">
      <calculatedColumnFormula>0.35*A29+0.12*B29</calculatedColumnFormula>
    </tableColumn>
    <tableColumn id="4" xr3:uid="{21BDE719-3563-4B51-858E-43F7CAE64A94}" name="R1 = CARNE" dataDxfId="35">
      <calculatedColumnFormula>Tabela134679[[#This Row],[C]]</calculatedColumnFormula>
    </tableColumn>
    <tableColumn id="5" xr3:uid="{6F1C6C99-053C-4C07-84E6-085F8607091C}" name="R2 = GRÃO" dataDxfId="34">
      <calculatedColumnFormula>Tabela134679[[#This Row],[G]]</calculatedColumnFormula>
    </tableColumn>
    <tableColumn id="6" xr3:uid="{66ED4DE3-9CD8-4341-82C5-4EB9293498B0}" name="R3=ESPAÇO NAVIO" dataDxfId="33">
      <calculatedColumnFormula>0.2*A29+0.4*B29</calculatedColumnFormula>
    </tableColumn>
    <tableColumn id="7" xr3:uid="{46646406-2261-4189-8B34-B5D0553D4D09}" name="R4= CPC EM KG" dataDxfId="32">
      <calculatedColumnFormula>A29+B29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A6AD-6FF4-489A-AF06-F6BF943E9C2F}">
  <dimension ref="A1:E6"/>
  <sheetViews>
    <sheetView workbookViewId="0">
      <selection activeCell="C8" sqref="C8"/>
    </sheetView>
  </sheetViews>
  <sheetFormatPr defaultRowHeight="15" x14ac:dyDescent="0.25"/>
  <cols>
    <col min="3" max="3" width="21.140625" customWidth="1"/>
    <col min="4" max="4" width="14.5703125" bestFit="1" customWidth="1"/>
    <col min="5" max="5" width="16.85546875" customWidth="1"/>
  </cols>
  <sheetData>
    <row r="1" spans="1:5" x14ac:dyDescent="0.25">
      <c r="A1" t="s">
        <v>1</v>
      </c>
      <c r="B1" t="s">
        <v>2</v>
      </c>
      <c r="C1" t="s">
        <v>0</v>
      </c>
      <c r="D1" t="s">
        <v>3</v>
      </c>
      <c r="E1" t="s">
        <v>4</v>
      </c>
    </row>
    <row r="2" spans="1:5" x14ac:dyDescent="0.25">
      <c r="A2">
        <v>0</v>
      </c>
      <c r="B2">
        <v>12</v>
      </c>
      <c r="C2" s="1">
        <f>6*A2+8*B2</f>
        <v>96</v>
      </c>
      <c r="D2">
        <f>2*A2+2*B2</f>
        <v>24</v>
      </c>
      <c r="E2">
        <f>4*A2+8*B2</f>
        <v>96</v>
      </c>
    </row>
    <row r="3" spans="1:5" x14ac:dyDescent="0.25">
      <c r="A3">
        <v>12</v>
      </c>
      <c r="B3">
        <v>0</v>
      </c>
      <c r="C3" s="1">
        <f t="shared" ref="C3:C6" si="0">6*A3+8*B3</f>
        <v>72</v>
      </c>
      <c r="D3">
        <f t="shared" ref="D3:D6" si="1">2*A3+2*B3</f>
        <v>24</v>
      </c>
      <c r="E3">
        <f>4*A3+8*B3</f>
        <v>48</v>
      </c>
    </row>
    <row r="4" spans="1:5" x14ac:dyDescent="0.25">
      <c r="A4">
        <v>0</v>
      </c>
      <c r="B4">
        <v>10.5</v>
      </c>
      <c r="C4" s="1">
        <f t="shared" si="0"/>
        <v>84</v>
      </c>
      <c r="D4">
        <f t="shared" si="1"/>
        <v>21</v>
      </c>
      <c r="E4">
        <f t="shared" ref="E4:E6" si="2">4*A4+8*B4</f>
        <v>84</v>
      </c>
    </row>
    <row r="5" spans="1:5" x14ac:dyDescent="0.25">
      <c r="A5">
        <v>21</v>
      </c>
      <c r="B5">
        <v>0</v>
      </c>
      <c r="C5" s="1">
        <f t="shared" si="0"/>
        <v>126</v>
      </c>
      <c r="D5">
        <f t="shared" si="1"/>
        <v>42</v>
      </c>
      <c r="E5">
        <f t="shared" si="2"/>
        <v>84</v>
      </c>
    </row>
    <row r="6" spans="1:5" x14ac:dyDescent="0.25">
      <c r="A6">
        <v>3</v>
      </c>
      <c r="B6">
        <v>9</v>
      </c>
      <c r="C6" s="2">
        <f t="shared" si="0"/>
        <v>90</v>
      </c>
      <c r="D6">
        <f t="shared" si="1"/>
        <v>24</v>
      </c>
      <c r="E6">
        <f t="shared" si="2"/>
        <v>84</v>
      </c>
    </row>
  </sheetData>
  <conditionalFormatting sqref="D2:D6">
    <cfRule type="cellIs" dxfId="50" priority="2" operator="lessThanOrEqual">
      <formula>24</formula>
    </cfRule>
  </conditionalFormatting>
  <conditionalFormatting sqref="E2:E6">
    <cfRule type="cellIs" dxfId="49" priority="1" operator="lessThanOrEqual">
      <formula>84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1984-F786-4702-9C38-15735DB43BB7}">
  <dimension ref="A1:E6"/>
  <sheetViews>
    <sheetView workbookViewId="0">
      <selection activeCell="D2" sqref="D2"/>
    </sheetView>
  </sheetViews>
  <sheetFormatPr defaultRowHeight="15" x14ac:dyDescent="0.25"/>
  <cols>
    <col min="3" max="3" width="21.140625" customWidth="1"/>
    <col min="4" max="4" width="14.5703125" bestFit="1" customWidth="1"/>
    <col min="5" max="5" width="16.85546875" customWidth="1"/>
  </cols>
  <sheetData>
    <row r="1" spans="1:5" x14ac:dyDescent="0.25">
      <c r="A1" t="s">
        <v>5</v>
      </c>
      <c r="B1" t="s">
        <v>6</v>
      </c>
      <c r="C1" t="s">
        <v>0</v>
      </c>
      <c r="D1" t="s">
        <v>3</v>
      </c>
      <c r="E1" t="s">
        <v>4</v>
      </c>
    </row>
    <row r="2" spans="1:5" x14ac:dyDescent="0.25">
      <c r="A2">
        <v>0</v>
      </c>
      <c r="B2">
        <v>4</v>
      </c>
      <c r="C2" s="1">
        <f t="shared" ref="C2:C6" si="0">4*A2+3*B2</f>
        <v>12</v>
      </c>
      <c r="D2">
        <f t="shared" ref="D2:D6" si="1">2*A2+3*B2</f>
        <v>12</v>
      </c>
      <c r="E2">
        <f t="shared" ref="E2:E6" si="2">2*A2+1*B2</f>
        <v>4</v>
      </c>
    </row>
    <row r="3" spans="1:5" x14ac:dyDescent="0.25">
      <c r="A3">
        <v>6</v>
      </c>
      <c r="B3">
        <v>0</v>
      </c>
      <c r="C3" s="1">
        <f t="shared" si="0"/>
        <v>24</v>
      </c>
      <c r="D3">
        <f t="shared" si="1"/>
        <v>12</v>
      </c>
      <c r="E3">
        <f t="shared" si="2"/>
        <v>12</v>
      </c>
    </row>
    <row r="4" spans="1:5" x14ac:dyDescent="0.25">
      <c r="A4">
        <v>0</v>
      </c>
      <c r="B4">
        <v>8</v>
      </c>
      <c r="C4" s="1">
        <f t="shared" si="0"/>
        <v>24</v>
      </c>
      <c r="D4">
        <f t="shared" si="1"/>
        <v>24</v>
      </c>
      <c r="E4">
        <f t="shared" si="2"/>
        <v>8</v>
      </c>
    </row>
    <row r="5" spans="1:5" x14ac:dyDescent="0.25">
      <c r="A5">
        <v>4</v>
      </c>
      <c r="B5">
        <v>0</v>
      </c>
      <c r="C5" s="1">
        <f t="shared" si="0"/>
        <v>16</v>
      </c>
      <c r="D5">
        <f t="shared" si="1"/>
        <v>8</v>
      </c>
      <c r="E5">
        <f t="shared" si="2"/>
        <v>8</v>
      </c>
    </row>
    <row r="6" spans="1:5" x14ac:dyDescent="0.25">
      <c r="A6">
        <v>3</v>
      </c>
      <c r="B6">
        <v>2</v>
      </c>
      <c r="C6" s="2">
        <f t="shared" si="0"/>
        <v>18</v>
      </c>
      <c r="D6">
        <f t="shared" si="1"/>
        <v>12</v>
      </c>
      <c r="E6">
        <f t="shared" si="2"/>
        <v>8</v>
      </c>
    </row>
  </sheetData>
  <conditionalFormatting sqref="D2:D6">
    <cfRule type="cellIs" dxfId="48" priority="2" operator="greaterThan">
      <formula>12</formula>
    </cfRule>
    <cfRule type="cellIs" dxfId="47" priority="4" operator="lessThanOrEqual">
      <formula>12</formula>
    </cfRule>
  </conditionalFormatting>
  <conditionalFormatting sqref="E2:E6">
    <cfRule type="cellIs" dxfId="46" priority="3" operator="lessThanOrEqual">
      <formula>8</formula>
    </cfRule>
  </conditionalFormatting>
  <conditionalFormatting sqref="E2:E1048576">
    <cfRule type="cellIs" dxfId="45" priority="1" operator="greaterThan">
      <formula>8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E2673-FA2C-4936-AC92-6D9FE69529DB}">
  <dimension ref="A1:F20"/>
  <sheetViews>
    <sheetView zoomScale="85" zoomScaleNormal="85" workbookViewId="0">
      <selection activeCell="E22" sqref="E22"/>
    </sheetView>
  </sheetViews>
  <sheetFormatPr defaultRowHeight="15" x14ac:dyDescent="0.25"/>
  <cols>
    <col min="1" max="1" width="13.7109375" bestFit="1" customWidth="1"/>
    <col min="3" max="3" width="21.140625" customWidth="1"/>
    <col min="4" max="4" width="14.5703125" bestFit="1" customWidth="1"/>
    <col min="5" max="5" width="16.85546875" customWidth="1"/>
    <col min="6" max="6" width="11.85546875" customWidth="1"/>
  </cols>
  <sheetData>
    <row r="1" spans="1:6" x14ac:dyDescent="0.25">
      <c r="A1" t="s">
        <v>7</v>
      </c>
      <c r="B1" t="s">
        <v>8</v>
      </c>
      <c r="C1" t="s">
        <v>0</v>
      </c>
      <c r="D1" t="s">
        <v>9</v>
      </c>
      <c r="E1" t="s">
        <v>10</v>
      </c>
      <c r="F1" t="s">
        <v>24</v>
      </c>
    </row>
    <row r="2" spans="1:6" x14ac:dyDescent="0.25">
      <c r="A2" s="10">
        <v>0</v>
      </c>
      <c r="B2" s="11">
        <v>1000</v>
      </c>
      <c r="C2" s="1">
        <f t="shared" ref="C2:C6" si="0">8*A2+5*B2</f>
        <v>5000</v>
      </c>
      <c r="D2">
        <f t="shared" ref="D2:D4" si="1">2*A2+1*B2</f>
        <v>1000</v>
      </c>
      <c r="E2">
        <f t="shared" ref="E2:E6" si="2">3*A2+4*B2</f>
        <v>4000</v>
      </c>
      <c r="F2">
        <f t="shared" ref="F2:F9" si="3">A2+B2</f>
        <v>1000</v>
      </c>
    </row>
    <row r="3" spans="1:6" x14ac:dyDescent="0.25">
      <c r="A3" s="12">
        <v>500</v>
      </c>
      <c r="B3" s="13">
        <v>0</v>
      </c>
      <c r="C3" s="1">
        <f t="shared" si="0"/>
        <v>4000</v>
      </c>
      <c r="D3">
        <f t="shared" si="1"/>
        <v>1000</v>
      </c>
      <c r="E3">
        <f t="shared" si="2"/>
        <v>1500</v>
      </c>
      <c r="F3">
        <f t="shared" si="3"/>
        <v>500</v>
      </c>
    </row>
    <row r="4" spans="1:6" x14ac:dyDescent="0.25">
      <c r="A4" s="15">
        <v>0</v>
      </c>
      <c r="B4" s="16">
        <v>600</v>
      </c>
      <c r="C4" s="1">
        <f t="shared" si="0"/>
        <v>3000</v>
      </c>
      <c r="D4">
        <f t="shared" si="1"/>
        <v>600</v>
      </c>
      <c r="E4">
        <f t="shared" si="2"/>
        <v>2400</v>
      </c>
      <c r="F4">
        <f t="shared" si="3"/>
        <v>600</v>
      </c>
    </row>
    <row r="5" spans="1:6" x14ac:dyDescent="0.25">
      <c r="A5" s="17">
        <v>800</v>
      </c>
      <c r="B5" s="18">
        <v>0</v>
      </c>
      <c r="C5" s="1">
        <f t="shared" si="0"/>
        <v>6400</v>
      </c>
      <c r="D5">
        <f>2*A5+1*B5</f>
        <v>1600</v>
      </c>
      <c r="E5">
        <f t="shared" si="2"/>
        <v>2400</v>
      </c>
      <c r="F5">
        <f t="shared" si="3"/>
        <v>800</v>
      </c>
    </row>
    <row r="6" spans="1:6" x14ac:dyDescent="0.25">
      <c r="A6" s="19">
        <v>0</v>
      </c>
      <c r="B6" s="19">
        <v>700</v>
      </c>
      <c r="C6" s="1">
        <f>8*A6+5*B6</f>
        <v>3500</v>
      </c>
      <c r="D6">
        <f t="shared" ref="D6:D7" si="4">2*A6+1*B6</f>
        <v>700</v>
      </c>
      <c r="E6">
        <f t="shared" si="2"/>
        <v>2800</v>
      </c>
      <c r="F6">
        <f t="shared" si="3"/>
        <v>700</v>
      </c>
    </row>
    <row r="7" spans="1:6" x14ac:dyDescent="0.25">
      <c r="A7" s="19">
        <v>700</v>
      </c>
      <c r="B7" s="19">
        <v>0</v>
      </c>
      <c r="C7" s="1">
        <f>8*A7+5*B7</f>
        <v>5600</v>
      </c>
      <c r="D7">
        <f t="shared" si="4"/>
        <v>1400</v>
      </c>
      <c r="E7" s="8">
        <f>3*A7+4*B7</f>
        <v>2100</v>
      </c>
      <c r="F7">
        <f t="shared" si="3"/>
        <v>700</v>
      </c>
    </row>
    <row r="8" spans="1:6" x14ac:dyDescent="0.25">
      <c r="A8">
        <v>320</v>
      </c>
      <c r="B8">
        <v>360</v>
      </c>
      <c r="C8" s="1">
        <f>8*A8+5*B8</f>
        <v>4360</v>
      </c>
      <c r="D8" s="8">
        <f>2*A8+1*B8</f>
        <v>1000</v>
      </c>
      <c r="E8" s="8">
        <f>3*A8+4*B8</f>
        <v>2400</v>
      </c>
      <c r="F8">
        <f t="shared" si="3"/>
        <v>680</v>
      </c>
    </row>
    <row r="11" spans="1:6" x14ac:dyDescent="0.25">
      <c r="A11" s="5" t="s">
        <v>11</v>
      </c>
      <c r="B11" s="5"/>
      <c r="C11" s="5"/>
      <c r="D11" s="5"/>
      <c r="E11" s="5"/>
    </row>
    <row r="12" spans="1:6" x14ac:dyDescent="0.25">
      <c r="A12" s="4" t="s">
        <v>12</v>
      </c>
      <c r="B12" s="4"/>
      <c r="C12" s="4"/>
      <c r="D12" s="4"/>
      <c r="E12" s="4"/>
    </row>
    <row r="13" spans="1:6" x14ac:dyDescent="0.25">
      <c r="A13" s="4" t="s">
        <v>13</v>
      </c>
      <c r="B13" s="4"/>
      <c r="C13" s="4"/>
      <c r="D13" s="4"/>
      <c r="E13" s="4"/>
    </row>
    <row r="15" spans="1:6" x14ac:dyDescent="0.25">
      <c r="A15" s="6" t="s">
        <v>14</v>
      </c>
      <c r="B15" s="6"/>
      <c r="C15" s="6"/>
      <c r="D15" t="s">
        <v>15</v>
      </c>
    </row>
    <row r="17" spans="1:4" x14ac:dyDescent="0.25">
      <c r="A17" s="7" t="s">
        <v>16</v>
      </c>
      <c r="B17" s="7"/>
    </row>
    <row r="18" spans="1:4" x14ac:dyDescent="0.25">
      <c r="A18" s="9" t="s">
        <v>17</v>
      </c>
      <c r="B18" s="3" t="s">
        <v>19</v>
      </c>
      <c r="C18" s="3"/>
    </row>
    <row r="19" spans="1:4" x14ac:dyDescent="0.25">
      <c r="A19" s="14" t="s">
        <v>18</v>
      </c>
      <c r="B19" s="3" t="s">
        <v>22</v>
      </c>
      <c r="C19" s="3"/>
      <c r="D19" t="s">
        <v>23</v>
      </c>
    </row>
    <row r="20" spans="1:4" x14ac:dyDescent="0.25">
      <c r="A20" s="19" t="s">
        <v>20</v>
      </c>
      <c r="B20" s="3" t="s">
        <v>21</v>
      </c>
      <c r="C20" s="3"/>
    </row>
  </sheetData>
  <mergeCells count="8">
    <mergeCell ref="A17:B17"/>
    <mergeCell ref="B18:C18"/>
    <mergeCell ref="B19:C19"/>
    <mergeCell ref="B20:C20"/>
    <mergeCell ref="A11:E11"/>
    <mergeCell ref="A12:E12"/>
    <mergeCell ref="A13:E13"/>
    <mergeCell ref="A15:C15"/>
  </mergeCells>
  <conditionalFormatting sqref="E8 E14:E1048576 E10">
    <cfRule type="cellIs" dxfId="44" priority="5" operator="greaterThan">
      <formula>8</formula>
    </cfRule>
  </conditionalFormatting>
  <conditionalFormatting sqref="E2:E8">
    <cfRule type="cellIs" dxfId="43" priority="4" operator="lessThanOrEqual">
      <formula>2400</formula>
    </cfRule>
  </conditionalFormatting>
  <conditionalFormatting sqref="D2:D8">
    <cfRule type="cellIs" dxfId="42" priority="3" operator="lessThanOrEqual">
      <formula>1000</formula>
    </cfRule>
  </conditionalFormatting>
  <conditionalFormatting sqref="F2:F8">
    <cfRule type="cellIs" dxfId="41" priority="2" operator="lessThanOrEqual">
      <formula>700</formula>
    </cfRule>
  </conditionalFormatting>
  <conditionalFormatting sqref="E9">
    <cfRule type="cellIs" dxfId="40" priority="1" operator="greaterThan">
      <formula>8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7F293-47D4-402B-933E-7B3A96B7FA55}">
  <dimension ref="A1:F20"/>
  <sheetViews>
    <sheetView zoomScale="85" zoomScaleNormal="85" workbookViewId="0">
      <selection activeCell="D40" sqref="D40"/>
    </sheetView>
  </sheetViews>
  <sheetFormatPr defaultRowHeight="15" x14ac:dyDescent="0.25"/>
  <cols>
    <col min="1" max="1" width="13.7109375" bestFit="1" customWidth="1"/>
    <col min="3" max="3" width="21.140625" customWidth="1"/>
    <col min="4" max="4" width="14.5703125" bestFit="1" customWidth="1"/>
    <col min="5" max="5" width="16.85546875" customWidth="1"/>
    <col min="6" max="6" width="11.85546875" customWidth="1"/>
  </cols>
  <sheetData>
    <row r="1" spans="1:6" x14ac:dyDescent="0.25">
      <c r="A1" t="s">
        <v>34</v>
      </c>
      <c r="B1" t="s">
        <v>35</v>
      </c>
      <c r="C1" t="s">
        <v>0</v>
      </c>
      <c r="D1" t="s">
        <v>36</v>
      </c>
      <c r="E1" t="s">
        <v>37</v>
      </c>
      <c r="F1" t="s">
        <v>38</v>
      </c>
    </row>
    <row r="2" spans="1:6" x14ac:dyDescent="0.25">
      <c r="A2" s="10">
        <v>0</v>
      </c>
      <c r="B2" s="11">
        <v>16</v>
      </c>
      <c r="C2" s="1">
        <f t="shared" ref="C2:C8" si="0">300*A2+500*B2</f>
        <v>8000</v>
      </c>
      <c r="D2">
        <f t="shared" ref="D2:D8" si="1">4*A2+2*B2</f>
        <v>32</v>
      </c>
      <c r="E2">
        <f t="shared" ref="E2:E8" si="2">2*A2+4*B2</f>
        <v>64</v>
      </c>
      <c r="F2">
        <f t="shared" ref="F2:F8" si="3">2*A2+6*B2</f>
        <v>96</v>
      </c>
    </row>
    <row r="3" spans="1:6" x14ac:dyDescent="0.25">
      <c r="A3" s="12">
        <v>8</v>
      </c>
      <c r="B3" s="13">
        <v>0</v>
      </c>
      <c r="C3" s="1">
        <f t="shared" si="0"/>
        <v>2400</v>
      </c>
      <c r="D3">
        <f t="shared" si="1"/>
        <v>32</v>
      </c>
      <c r="E3">
        <f t="shared" si="2"/>
        <v>16</v>
      </c>
      <c r="F3">
        <f t="shared" si="3"/>
        <v>16</v>
      </c>
    </row>
    <row r="4" spans="1:6" x14ac:dyDescent="0.25">
      <c r="A4" s="15">
        <v>0</v>
      </c>
      <c r="B4" s="16">
        <v>5.5</v>
      </c>
      <c r="C4" s="1">
        <f t="shared" si="0"/>
        <v>2750</v>
      </c>
      <c r="D4">
        <f t="shared" si="1"/>
        <v>11</v>
      </c>
      <c r="E4">
        <f t="shared" si="2"/>
        <v>22</v>
      </c>
      <c r="F4">
        <f t="shared" si="3"/>
        <v>33</v>
      </c>
    </row>
    <row r="5" spans="1:6" x14ac:dyDescent="0.25">
      <c r="A5" s="17">
        <v>11</v>
      </c>
      <c r="B5" s="18">
        <v>0</v>
      </c>
      <c r="C5" s="1">
        <f t="shared" si="0"/>
        <v>3300</v>
      </c>
      <c r="D5">
        <f t="shared" si="1"/>
        <v>44</v>
      </c>
      <c r="E5">
        <f t="shared" si="2"/>
        <v>22</v>
      </c>
      <c r="F5">
        <f t="shared" si="3"/>
        <v>22</v>
      </c>
    </row>
    <row r="6" spans="1:6" x14ac:dyDescent="0.25">
      <c r="A6" s="19">
        <v>0</v>
      </c>
      <c r="B6" s="19">
        <v>5</v>
      </c>
      <c r="C6" s="1">
        <f t="shared" si="0"/>
        <v>2500</v>
      </c>
      <c r="D6">
        <f t="shared" si="1"/>
        <v>10</v>
      </c>
      <c r="E6">
        <f t="shared" si="2"/>
        <v>20</v>
      </c>
      <c r="F6">
        <f t="shared" si="3"/>
        <v>30</v>
      </c>
    </row>
    <row r="7" spans="1:6" x14ac:dyDescent="0.25">
      <c r="A7" s="19">
        <v>15</v>
      </c>
      <c r="B7" s="19">
        <v>0</v>
      </c>
      <c r="C7" s="1">
        <f t="shared" si="0"/>
        <v>4500</v>
      </c>
      <c r="D7">
        <f t="shared" si="1"/>
        <v>60</v>
      </c>
      <c r="E7" s="8">
        <f t="shared" si="2"/>
        <v>30</v>
      </c>
      <c r="F7">
        <f t="shared" si="3"/>
        <v>30</v>
      </c>
    </row>
    <row r="8" spans="1:6" ht="15.75" thickBot="1" x14ac:dyDescent="0.3">
      <c r="A8">
        <v>3</v>
      </c>
      <c r="B8">
        <v>4</v>
      </c>
      <c r="C8" s="1">
        <f t="shared" si="0"/>
        <v>2900</v>
      </c>
      <c r="D8" s="8">
        <f t="shared" si="1"/>
        <v>20</v>
      </c>
      <c r="E8" s="8">
        <f t="shared" si="2"/>
        <v>22</v>
      </c>
      <c r="F8">
        <f t="shared" si="3"/>
        <v>30</v>
      </c>
    </row>
    <row r="9" spans="1:6" ht="15.75" thickBot="1" x14ac:dyDescent="0.3">
      <c r="A9" s="20">
        <v>7</v>
      </c>
      <c r="B9" s="21">
        <v>2</v>
      </c>
      <c r="C9" s="22">
        <f>300*A9+500*B9</f>
        <v>3100</v>
      </c>
      <c r="D9" s="23">
        <f>4*A9+2*B9</f>
        <v>32</v>
      </c>
      <c r="E9" s="23">
        <f>2*A9+4*B9</f>
        <v>22</v>
      </c>
      <c r="F9" s="24">
        <f>2*A9+6*B9</f>
        <v>26</v>
      </c>
    </row>
    <row r="11" spans="1:6" x14ac:dyDescent="0.25">
      <c r="A11" s="5" t="s">
        <v>11</v>
      </c>
      <c r="B11" s="5"/>
      <c r="C11" s="5"/>
      <c r="D11" s="5"/>
      <c r="E11" s="5"/>
    </row>
    <row r="12" spans="1:6" x14ac:dyDescent="0.25">
      <c r="A12" s="4" t="s">
        <v>28</v>
      </c>
      <c r="B12" s="4"/>
      <c r="C12" s="4"/>
      <c r="D12" s="4"/>
      <c r="E12" s="4"/>
    </row>
    <row r="13" spans="1:6" x14ac:dyDescent="0.25">
      <c r="A13" s="4" t="s">
        <v>29</v>
      </c>
      <c r="B13" s="4"/>
      <c r="C13" s="4"/>
      <c r="D13" s="4"/>
      <c r="E13" s="4"/>
    </row>
    <row r="15" spans="1:6" x14ac:dyDescent="0.25">
      <c r="A15" s="6" t="s">
        <v>39</v>
      </c>
      <c r="B15" s="6"/>
      <c r="C15" s="6"/>
      <c r="D15" t="s">
        <v>30</v>
      </c>
    </row>
    <row r="17" spans="1:3" x14ac:dyDescent="0.25">
      <c r="A17" s="7" t="s">
        <v>16</v>
      </c>
      <c r="B17" s="7"/>
    </row>
    <row r="18" spans="1:3" x14ac:dyDescent="0.25">
      <c r="A18" s="9" t="s">
        <v>25</v>
      </c>
      <c r="B18" s="3" t="s">
        <v>31</v>
      </c>
      <c r="C18" s="3"/>
    </row>
    <row r="19" spans="1:3" x14ac:dyDescent="0.25">
      <c r="A19" s="14" t="s">
        <v>26</v>
      </c>
      <c r="B19" s="3" t="s">
        <v>32</v>
      </c>
      <c r="C19" s="3"/>
    </row>
    <row r="20" spans="1:3" x14ac:dyDescent="0.25">
      <c r="A20" s="19" t="s">
        <v>27</v>
      </c>
      <c r="B20" s="3" t="s">
        <v>33</v>
      </c>
      <c r="C20" s="3"/>
    </row>
  </sheetData>
  <mergeCells count="8">
    <mergeCell ref="B19:C19"/>
    <mergeCell ref="B20:C20"/>
    <mergeCell ref="A11:E11"/>
    <mergeCell ref="A12:E12"/>
    <mergeCell ref="A13:E13"/>
    <mergeCell ref="A15:C15"/>
    <mergeCell ref="A17:B17"/>
    <mergeCell ref="B18:C18"/>
  </mergeCells>
  <conditionalFormatting sqref="E2:E9">
    <cfRule type="cellIs" dxfId="39" priority="4" operator="lessThanOrEqual">
      <formula>22</formula>
    </cfRule>
  </conditionalFormatting>
  <conditionalFormatting sqref="D2:D9">
    <cfRule type="cellIs" dxfId="38" priority="3" operator="lessThanOrEqual">
      <formula>32</formula>
    </cfRule>
  </conditionalFormatting>
  <conditionalFormatting sqref="F2:F9">
    <cfRule type="cellIs" dxfId="37" priority="2" operator="lessThanOrEqual">
      <formula>30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350A-92B4-4B3D-B03D-0A96FDFF2C25}">
  <dimension ref="A1:G36"/>
  <sheetViews>
    <sheetView tabSelected="1" zoomScale="85" zoomScaleNormal="85" workbookViewId="0">
      <selection activeCell="D8" sqref="D8:G8"/>
    </sheetView>
  </sheetViews>
  <sheetFormatPr defaultRowHeight="15" x14ac:dyDescent="0.25"/>
  <cols>
    <col min="1" max="1" width="22.140625" customWidth="1"/>
    <col min="3" max="3" width="21.140625" customWidth="1"/>
    <col min="4" max="4" width="14.5703125" bestFit="1" customWidth="1"/>
    <col min="5" max="5" width="16.85546875" customWidth="1"/>
    <col min="6" max="6" width="20.140625" customWidth="1"/>
    <col min="7" max="7" width="18.28515625" customWidth="1"/>
  </cols>
  <sheetData>
    <row r="1" spans="1:7" x14ac:dyDescent="0.25">
      <c r="A1" t="s">
        <v>43</v>
      </c>
      <c r="B1" t="s">
        <v>44</v>
      </c>
      <c r="C1" t="s">
        <v>0</v>
      </c>
      <c r="D1" t="s">
        <v>47</v>
      </c>
      <c r="E1" t="s">
        <v>48</v>
      </c>
      <c r="F1" t="s">
        <v>49</v>
      </c>
      <c r="G1" t="s">
        <v>50</v>
      </c>
    </row>
    <row r="2" spans="1:7" x14ac:dyDescent="0.25">
      <c r="A2" s="25">
        <v>85</v>
      </c>
      <c r="B2" s="11">
        <v>0</v>
      </c>
      <c r="C2" s="1">
        <f t="shared" ref="C2:C9" si="0">0.35*A2+0.12*B2</f>
        <v>29.749999999999996</v>
      </c>
      <c r="D2">
        <f>Tabela13467[[#This Row],[C]]</f>
        <v>85</v>
      </c>
      <c r="E2">
        <f>Tabela13467[[#This Row],[G]]</f>
        <v>0</v>
      </c>
      <c r="F2">
        <f t="shared" ref="F2:F9" si="1">0.2*A2+0.4*B2</f>
        <v>17</v>
      </c>
      <c r="G2" s="8">
        <f t="shared" ref="G2:G9" si="2">A2+B2</f>
        <v>85</v>
      </c>
    </row>
    <row r="3" spans="1:7" x14ac:dyDescent="0.25">
      <c r="A3" s="14">
        <v>0</v>
      </c>
      <c r="B3" s="14">
        <v>100</v>
      </c>
      <c r="C3" s="1">
        <f t="shared" si="0"/>
        <v>12</v>
      </c>
      <c r="D3">
        <f>Tabela13467[[#This Row],[C]]</f>
        <v>0</v>
      </c>
      <c r="E3">
        <f>Tabela13467[[#This Row],[G]]</f>
        <v>100</v>
      </c>
      <c r="F3">
        <f t="shared" si="1"/>
        <v>40</v>
      </c>
      <c r="G3" s="8">
        <f t="shared" si="2"/>
        <v>100</v>
      </c>
    </row>
    <row r="4" spans="1:7" x14ac:dyDescent="0.25">
      <c r="A4" s="19">
        <v>0</v>
      </c>
      <c r="B4" s="19">
        <v>175</v>
      </c>
      <c r="C4" s="1">
        <f t="shared" si="0"/>
        <v>21</v>
      </c>
      <c r="D4">
        <f>Tabela13467[[#This Row],[C]]</f>
        <v>0</v>
      </c>
      <c r="E4">
        <f>Tabela13467[[#This Row],[G]]</f>
        <v>175</v>
      </c>
      <c r="F4">
        <f t="shared" si="1"/>
        <v>70</v>
      </c>
      <c r="G4" s="8">
        <f t="shared" si="2"/>
        <v>175</v>
      </c>
    </row>
    <row r="5" spans="1:7" x14ac:dyDescent="0.25">
      <c r="A5" s="19">
        <v>350</v>
      </c>
      <c r="B5" s="19">
        <v>0</v>
      </c>
      <c r="C5" s="1">
        <f t="shared" si="0"/>
        <v>122.49999999999999</v>
      </c>
      <c r="D5">
        <f>Tabela13467[[#This Row],[C]]</f>
        <v>350</v>
      </c>
      <c r="E5">
        <f>Tabela13467[[#This Row],[G]]</f>
        <v>0</v>
      </c>
      <c r="F5">
        <f t="shared" si="1"/>
        <v>70</v>
      </c>
      <c r="G5" s="8">
        <f t="shared" si="2"/>
        <v>350</v>
      </c>
    </row>
    <row r="6" spans="1:7" x14ac:dyDescent="0.25">
      <c r="A6">
        <v>0</v>
      </c>
      <c r="B6">
        <v>160</v>
      </c>
      <c r="C6" s="1">
        <f t="shared" si="0"/>
        <v>19.2</v>
      </c>
      <c r="D6">
        <f>Tabela13467[[#This Row],[C]]</f>
        <v>0</v>
      </c>
      <c r="E6">
        <f>Tabela13467[[#This Row],[G]]</f>
        <v>160</v>
      </c>
      <c r="F6">
        <f t="shared" si="1"/>
        <v>64</v>
      </c>
      <c r="G6" s="8">
        <f t="shared" si="2"/>
        <v>160</v>
      </c>
    </row>
    <row r="7" spans="1:7" x14ac:dyDescent="0.25">
      <c r="A7">
        <v>160</v>
      </c>
      <c r="B7">
        <v>0</v>
      </c>
      <c r="C7" s="1">
        <f t="shared" si="0"/>
        <v>56</v>
      </c>
      <c r="D7">
        <f>Tabela13467[[#This Row],[C]]</f>
        <v>160</v>
      </c>
      <c r="E7" s="8">
        <f>Tabela13467[[#This Row],[G]]</f>
        <v>0</v>
      </c>
      <c r="F7">
        <f t="shared" si="1"/>
        <v>32</v>
      </c>
      <c r="G7" s="8">
        <f t="shared" si="2"/>
        <v>160</v>
      </c>
    </row>
    <row r="8" spans="1:7" x14ac:dyDescent="0.25">
      <c r="A8">
        <v>85</v>
      </c>
      <c r="B8">
        <v>75</v>
      </c>
      <c r="C8" s="1">
        <f t="shared" si="0"/>
        <v>38.75</v>
      </c>
      <c r="D8">
        <f>Tabela13467[[#This Row],[C]]</f>
        <v>85</v>
      </c>
      <c r="E8" s="8">
        <f>Tabela13467[[#This Row],[G]]</f>
        <v>75</v>
      </c>
      <c r="F8">
        <f t="shared" si="1"/>
        <v>47</v>
      </c>
      <c r="G8" s="8">
        <f t="shared" si="2"/>
        <v>160</v>
      </c>
    </row>
    <row r="9" spans="1:7" x14ac:dyDescent="0.25">
      <c r="A9">
        <v>30</v>
      </c>
      <c r="B9">
        <v>100</v>
      </c>
      <c r="C9" s="1">
        <f t="shared" si="0"/>
        <v>22.5</v>
      </c>
      <c r="D9">
        <f>Tabela13467[[#This Row],[C]]</f>
        <v>30</v>
      </c>
      <c r="E9" s="8">
        <f>Tabela13467[[#This Row],[G]]</f>
        <v>100</v>
      </c>
      <c r="F9">
        <f t="shared" si="1"/>
        <v>46</v>
      </c>
      <c r="G9" s="8">
        <f t="shared" si="2"/>
        <v>130</v>
      </c>
    </row>
    <row r="11" spans="1:7" x14ac:dyDescent="0.25">
      <c r="A11" s="5" t="s">
        <v>11</v>
      </c>
      <c r="B11" s="5"/>
      <c r="C11" s="5"/>
      <c r="D11" s="5"/>
      <c r="E11" s="5"/>
    </row>
    <row r="12" spans="1:7" x14ac:dyDescent="0.25">
      <c r="A12" s="4" t="s">
        <v>40</v>
      </c>
      <c r="B12" s="4"/>
      <c r="C12" s="4"/>
      <c r="D12" s="4"/>
      <c r="E12" s="4"/>
    </row>
    <row r="13" spans="1:7" x14ac:dyDescent="0.25">
      <c r="A13" s="4" t="s">
        <v>41</v>
      </c>
      <c r="B13" s="4"/>
      <c r="C13" s="4"/>
      <c r="D13" s="4"/>
      <c r="E13" s="4"/>
    </row>
    <row r="15" spans="1:7" x14ac:dyDescent="0.25">
      <c r="A15" s="6" t="s">
        <v>45</v>
      </c>
      <c r="B15" s="6"/>
      <c r="C15" s="6"/>
      <c r="D15" t="s">
        <v>46</v>
      </c>
    </row>
    <row r="17" spans="1:7" x14ac:dyDescent="0.25">
      <c r="A17" s="7" t="s">
        <v>16</v>
      </c>
      <c r="B17" s="7"/>
    </row>
    <row r="18" spans="1:7" x14ac:dyDescent="0.25">
      <c r="A18" s="9" t="s">
        <v>42</v>
      </c>
      <c r="B18" s="3">
        <v>85000</v>
      </c>
      <c r="C18" s="3"/>
    </row>
    <row r="19" spans="1:7" x14ac:dyDescent="0.25">
      <c r="A19" s="14" t="s">
        <v>51</v>
      </c>
      <c r="B19" s="3">
        <v>100000</v>
      </c>
      <c r="C19" s="3"/>
    </row>
    <row r="20" spans="1:7" x14ac:dyDescent="0.25">
      <c r="A20" s="19" t="s">
        <v>52</v>
      </c>
      <c r="B20" s="3" t="s">
        <v>53</v>
      </c>
      <c r="C20" s="3"/>
    </row>
    <row r="21" spans="1:7" x14ac:dyDescent="0.25">
      <c r="A21" t="s">
        <v>54</v>
      </c>
      <c r="B21" s="3" t="s">
        <v>55</v>
      </c>
      <c r="C21" s="3"/>
    </row>
    <row r="28" spans="1:7" x14ac:dyDescent="0.25">
      <c r="A28" t="s">
        <v>43</v>
      </c>
      <c r="B28" t="s">
        <v>44</v>
      </c>
      <c r="C28" t="s">
        <v>0</v>
      </c>
      <c r="D28" t="s">
        <v>47</v>
      </c>
      <c r="E28" t="s">
        <v>48</v>
      </c>
      <c r="F28" t="s">
        <v>49</v>
      </c>
      <c r="G28" t="s">
        <v>50</v>
      </c>
    </row>
    <row r="29" spans="1:7" x14ac:dyDescent="0.25">
      <c r="A29" s="25">
        <v>85</v>
      </c>
      <c r="B29" s="11">
        <v>0</v>
      </c>
      <c r="C29" s="1">
        <f t="shared" ref="C29:C36" si="3">0.35*A29+0.12*B29</f>
        <v>29.749999999999996</v>
      </c>
      <c r="D29">
        <f>Tabela134679[[#This Row],[C]]</f>
        <v>85</v>
      </c>
      <c r="E29">
        <f>Tabela134679[[#This Row],[G]]</f>
        <v>0</v>
      </c>
      <c r="F29">
        <f t="shared" ref="F29:F36" si="4">0.2*A29+0.4*B29</f>
        <v>17</v>
      </c>
      <c r="G29" s="8">
        <f t="shared" ref="G29:G36" si="5">A29+B29</f>
        <v>85</v>
      </c>
    </row>
    <row r="30" spans="1:7" x14ac:dyDescent="0.25">
      <c r="A30" s="14">
        <v>0</v>
      </c>
      <c r="B30" s="14">
        <v>100</v>
      </c>
      <c r="C30" s="1">
        <f t="shared" si="3"/>
        <v>12</v>
      </c>
      <c r="D30">
        <f>Tabela134679[[#This Row],[C]]</f>
        <v>0</v>
      </c>
      <c r="E30">
        <f>Tabela134679[[#This Row],[G]]</f>
        <v>100</v>
      </c>
      <c r="F30">
        <f t="shared" si="4"/>
        <v>40</v>
      </c>
      <c r="G30" s="8">
        <f t="shared" si="5"/>
        <v>100</v>
      </c>
    </row>
    <row r="31" spans="1:7" x14ac:dyDescent="0.25">
      <c r="A31" s="19">
        <v>0</v>
      </c>
      <c r="B31" s="19">
        <v>175</v>
      </c>
      <c r="C31" s="1">
        <f t="shared" si="3"/>
        <v>21</v>
      </c>
      <c r="D31">
        <f>Tabela134679[[#This Row],[C]]</f>
        <v>0</v>
      </c>
      <c r="E31">
        <f>Tabela134679[[#This Row],[G]]</f>
        <v>175</v>
      </c>
      <c r="F31">
        <f t="shared" si="4"/>
        <v>70</v>
      </c>
      <c r="G31" s="8">
        <f t="shared" si="5"/>
        <v>175</v>
      </c>
    </row>
    <row r="32" spans="1:7" x14ac:dyDescent="0.25">
      <c r="A32" s="19">
        <v>350</v>
      </c>
      <c r="B32" s="19">
        <v>0</v>
      </c>
      <c r="C32" s="1">
        <f t="shared" si="3"/>
        <v>122.49999999999999</v>
      </c>
      <c r="D32">
        <f>Tabela134679[[#This Row],[C]]</f>
        <v>350</v>
      </c>
      <c r="E32">
        <f>Tabela134679[[#This Row],[G]]</f>
        <v>0</v>
      </c>
      <c r="F32">
        <f t="shared" si="4"/>
        <v>70</v>
      </c>
      <c r="G32" s="8">
        <f t="shared" si="5"/>
        <v>350</v>
      </c>
    </row>
    <row r="33" spans="1:7" x14ac:dyDescent="0.25">
      <c r="A33">
        <v>0</v>
      </c>
      <c r="B33">
        <v>160</v>
      </c>
      <c r="C33" s="1">
        <f t="shared" si="3"/>
        <v>19.2</v>
      </c>
      <c r="D33">
        <f>Tabela134679[[#This Row],[C]]</f>
        <v>0</v>
      </c>
      <c r="E33">
        <f>Tabela134679[[#This Row],[G]]</f>
        <v>160</v>
      </c>
      <c r="F33">
        <f t="shared" si="4"/>
        <v>64</v>
      </c>
      <c r="G33" s="8">
        <f t="shared" si="5"/>
        <v>160</v>
      </c>
    </row>
    <row r="34" spans="1:7" x14ac:dyDescent="0.25">
      <c r="A34">
        <v>160</v>
      </c>
      <c r="B34">
        <v>0</v>
      </c>
      <c r="C34" s="1">
        <f t="shared" si="3"/>
        <v>56</v>
      </c>
      <c r="D34">
        <f>Tabela134679[[#This Row],[C]]</f>
        <v>160</v>
      </c>
      <c r="E34" s="8">
        <f>Tabela134679[[#This Row],[G]]</f>
        <v>0</v>
      </c>
      <c r="F34">
        <f t="shared" si="4"/>
        <v>32</v>
      </c>
      <c r="G34" s="8">
        <f t="shared" si="5"/>
        <v>160</v>
      </c>
    </row>
    <row r="35" spans="1:7" ht="15.75" thickBot="1" x14ac:dyDescent="0.3">
      <c r="C35" s="1">
        <f t="shared" si="3"/>
        <v>0</v>
      </c>
      <c r="D35">
        <f>Tabela134679[[#This Row],[C]]</f>
        <v>0</v>
      </c>
      <c r="E35" s="8">
        <f>Tabela134679[[#This Row],[G]]</f>
        <v>0</v>
      </c>
      <c r="F35">
        <f t="shared" si="4"/>
        <v>0</v>
      </c>
      <c r="G35" s="8">
        <f t="shared" si="5"/>
        <v>0</v>
      </c>
    </row>
    <row r="36" spans="1:7" ht="15.75" thickBot="1" x14ac:dyDescent="0.3">
      <c r="A36" s="20"/>
      <c r="B36" s="21"/>
      <c r="C36" s="22">
        <f t="shared" si="3"/>
        <v>0</v>
      </c>
      <c r="D36">
        <f>Tabela134679[[#This Row],[C]]</f>
        <v>0</v>
      </c>
      <c r="E36" s="23">
        <f>Tabela134679[[#This Row],[G]]</f>
        <v>0</v>
      </c>
      <c r="F36" s="24">
        <f t="shared" si="4"/>
        <v>0</v>
      </c>
      <c r="G36" s="8">
        <f t="shared" si="5"/>
        <v>0</v>
      </c>
    </row>
  </sheetData>
  <mergeCells count="9">
    <mergeCell ref="B19:C19"/>
    <mergeCell ref="B20:C20"/>
    <mergeCell ref="B21:C21"/>
    <mergeCell ref="A11:E11"/>
    <mergeCell ref="A12:E12"/>
    <mergeCell ref="A13:E13"/>
    <mergeCell ref="A15:C15"/>
    <mergeCell ref="A17:B17"/>
    <mergeCell ref="B18:C18"/>
  </mergeCells>
  <conditionalFormatting sqref="D2:D9">
    <cfRule type="cellIs" dxfId="19" priority="14" operator="greaterThanOrEqual">
      <formula>85</formula>
    </cfRule>
  </conditionalFormatting>
  <conditionalFormatting sqref="E2:E8">
    <cfRule type="cellIs" dxfId="18" priority="13" operator="greaterThanOrEqual">
      <formula>100</formula>
    </cfRule>
  </conditionalFormatting>
  <conditionalFormatting sqref="F2:F8">
    <cfRule type="cellIs" dxfId="17" priority="12" operator="greaterThanOrEqual">
      <formula>70</formula>
    </cfRule>
  </conditionalFormatting>
  <conditionalFormatting sqref="G2:G9">
    <cfRule type="cellIs" dxfId="10" priority="11" operator="greaterThanOrEqual">
      <formula>160</formula>
    </cfRule>
  </conditionalFormatting>
  <conditionalFormatting sqref="D29:D36">
    <cfRule type="cellIs" dxfId="16" priority="6" operator="greaterThanOrEqual">
      <formula>85000</formula>
    </cfRule>
  </conditionalFormatting>
  <conditionalFormatting sqref="E29:E36">
    <cfRule type="cellIs" dxfId="15" priority="5" operator="greaterThanOrEqual">
      <formula>100000</formula>
    </cfRule>
  </conditionalFormatting>
  <conditionalFormatting sqref="F29:F36">
    <cfRule type="cellIs" dxfId="14" priority="4" operator="greaterThanOrEqual">
      <formula>70000</formula>
    </cfRule>
  </conditionalFormatting>
  <conditionalFormatting sqref="G29:G36">
    <cfRule type="cellIs" dxfId="13" priority="3" operator="greaterThanOrEqual">
      <formula>85000</formula>
    </cfRule>
  </conditionalFormatting>
  <conditionalFormatting sqref="E9">
    <cfRule type="cellIs" dxfId="12" priority="2" operator="greaterThanOrEqual">
      <formula>100</formula>
    </cfRule>
  </conditionalFormatting>
  <conditionalFormatting sqref="F9">
    <cfRule type="cellIs" dxfId="11" priority="1" operator="greaterThanOrEqual">
      <formula>70</formula>
    </cfRule>
  </conditionalFormatting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MEIAS</vt:lpstr>
      <vt:lpstr>MARCENARIA</vt:lpstr>
      <vt:lpstr>FABRICA DE BRINQUEDOS</vt:lpstr>
      <vt:lpstr>FABRICA DE FANTASIAS</vt:lpstr>
      <vt:lpstr>BARCO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2026-08-19T23:40:17Z</dcterms:created>
  <dcterms:modified xsi:type="dcterms:W3CDTF">2026-08-27T00:58:19Z</dcterms:modified>
</cp:coreProperties>
</file>