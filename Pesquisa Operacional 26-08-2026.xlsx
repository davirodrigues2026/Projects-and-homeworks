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4CBC7295-F979-4D4B-A6FA-89C8F5DE8C9C}" xr6:coauthVersionLast="36" xr6:coauthVersionMax="36" xr10:uidLastSave="{00000000-0000-0000-0000-000000000000}"/>
  <bookViews>
    <workbookView xWindow="0" yWindow="0" windowWidth="28800" windowHeight="12105" activeTab="2" xr2:uid="{1CE03E06-8B82-49D4-856F-87FA00EC1764}"/>
  </bookViews>
  <sheets>
    <sheet name="Vendedor Meias" sheetId="1" r:id="rId1"/>
    <sheet name="Marcenaria" sheetId="2" r:id="rId2"/>
    <sheet name="Fabrica brinquedo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 l="1"/>
  <c r="C2" i="3"/>
  <c r="B15" i="2" l="1"/>
  <c r="B14" i="2"/>
  <c r="C2" i="2"/>
</calcChain>
</file>

<file path=xl/sharedStrings.xml><?xml version="1.0" encoding="utf-8"?>
<sst xmlns="http://schemas.openxmlformats.org/spreadsheetml/2006/main" count="25" uniqueCount="17">
  <si>
    <t>A</t>
  </si>
  <si>
    <t>B</t>
  </si>
  <si>
    <t>R1</t>
  </si>
  <si>
    <t>R2</t>
  </si>
  <si>
    <t>Restrição 1</t>
  </si>
  <si>
    <t>Restrição 2</t>
  </si>
  <si>
    <t xml:space="preserve">Função Objetivo: </t>
  </si>
  <si>
    <t>Madeira:</t>
  </si>
  <si>
    <t>Armários:</t>
  </si>
  <si>
    <t>Restrição</t>
  </si>
  <si>
    <t>Intersecção:</t>
  </si>
  <si>
    <t>Mesa:</t>
  </si>
  <si>
    <t>B1</t>
  </si>
  <si>
    <t>B2</t>
  </si>
  <si>
    <t>R3</t>
  </si>
  <si>
    <t>2B1 + 1B2</t>
  </si>
  <si>
    <t>3B1 + 4B2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</si>
</sst>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 de meias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'Vendedor Meias'!$B$1</c:f>
              <c:strCache>
                <c:ptCount val="1"/>
                <c:pt idx="0">
                  <c:v>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'Vendedor Meias'!$A$2:$A$5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21</c:v>
                </c:pt>
              </c:numCache>
            </c:numRef>
          </c:xVal>
          <c:yVal>
            <c:numRef>
              <c:f>'Vendedor Meias'!$B$2:$B$5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10.5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4-498A-A8D3-569F1122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9920"/>
        <c:axId val="15131120"/>
      </c:scatterChart>
      <c:valAx>
        <c:axId val="72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1120"/>
        <c:crosses val="autoZero"/>
        <c:crossBetween val="midCat"/>
        <c:majorUnit val="1"/>
      </c:valAx>
      <c:valAx>
        <c:axId val="151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99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Exemplo - Marcenaria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Marcenaria!$C$6</c:f>
              <c:strCache>
                <c:ptCount val="1"/>
                <c:pt idx="0">
                  <c:v>Armários: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Marcenaria!$B$7:$B$10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4</c:v>
                </c:pt>
              </c:numCache>
            </c:numRef>
          </c:xVal>
          <c:yVal>
            <c:numRef>
              <c:f>Marcenaria!$C$7:$C$10</c:f>
              <c:numCache>
                <c:formatCode>0</c:formatCode>
                <c:ptCount val="4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F-40A5-A9EA-063BF450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4848"/>
        <c:axId val="160817792"/>
      </c:scatterChart>
      <c:valAx>
        <c:axId val="1683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17792"/>
        <c:crosses val="autoZero"/>
        <c:crossBetween val="midCat"/>
      </c:valAx>
      <c:valAx>
        <c:axId val="1608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Armário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3484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Fábrica de brinquedos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'Fabrica brinquedos'!$C$6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'Fabrica brinquedos'!$B$7:$B$12</c:f>
              <c:numCache>
                <c:formatCode>General</c:formatCode>
                <c:ptCount val="6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800</c:v>
                </c:pt>
                <c:pt idx="4">
                  <c:v>0</c:v>
                </c:pt>
                <c:pt idx="5">
                  <c:v>700</c:v>
                </c:pt>
              </c:numCache>
            </c:numRef>
          </c:xVal>
          <c:yVal>
            <c:numRef>
              <c:f>'Fabrica brinquedos'!$C$7:$C$12</c:f>
              <c:numCache>
                <c:formatCode>0</c:formatCode>
                <c:ptCount val="6"/>
                <c:pt idx="0">
                  <c:v>1000</c:v>
                </c:pt>
                <c:pt idx="1">
                  <c:v>0</c:v>
                </c:pt>
                <c:pt idx="2">
                  <c:v>600</c:v>
                </c:pt>
                <c:pt idx="3">
                  <c:v>0</c:v>
                </c:pt>
                <c:pt idx="4">
                  <c:v>700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5-4DBA-9B98-3F535BE5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349936"/>
        <c:axId val="544102288"/>
      </c:scatterChart>
      <c:valAx>
        <c:axId val="54334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Brinquedo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102288"/>
        <c:crosses val="autoZero"/>
        <c:crossBetween val="midCat"/>
        <c:majorUnit val="30"/>
      </c:valAx>
      <c:valAx>
        <c:axId val="544102288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Brinquedo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349936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1</xdr:row>
      <xdr:rowOff>14286</xdr:rowOff>
    </xdr:from>
    <xdr:to>
      <xdr:col>14</xdr:col>
      <xdr:colOff>219075</xdr:colOff>
      <xdr:row>16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95C13D-8FE2-44E0-9A80-80050C31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7</xdr:row>
      <xdr:rowOff>28575</xdr:rowOff>
    </xdr:from>
    <xdr:to>
      <xdr:col>5</xdr:col>
      <xdr:colOff>85725</xdr:colOff>
      <xdr:row>15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A4F9464-2E1F-4DB4-ACFC-90F31DA71696}"/>
            </a:ext>
          </a:extLst>
        </xdr:cNvPr>
        <xdr:cNvCxnSpPr/>
      </xdr:nvCxnSpPr>
      <xdr:spPr>
        <a:xfrm flipV="1">
          <a:off x="3209925" y="1362075"/>
          <a:ext cx="19050" cy="1552575"/>
        </a:xfrm>
        <a:prstGeom prst="line">
          <a:avLst/>
        </a:prstGeom>
        <a:ln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7</xdr:row>
      <xdr:rowOff>47625</xdr:rowOff>
    </xdr:from>
    <xdr:to>
      <xdr:col>5</xdr:col>
      <xdr:colOff>104775</xdr:colOff>
      <xdr:row>7</xdr:row>
      <xdr:rowOff>57150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3C8F067-2B0E-4BEB-884B-B875AB272A4E}"/>
            </a:ext>
          </a:extLst>
        </xdr:cNvPr>
        <xdr:cNvCxnSpPr/>
      </xdr:nvCxnSpPr>
      <xdr:spPr>
        <a:xfrm>
          <a:off x="2409825" y="1381125"/>
          <a:ext cx="838200" cy="9525"/>
        </a:xfrm>
        <a:prstGeom prst="line">
          <a:avLst/>
        </a:prstGeom>
        <a:ln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0.03753</cdr:x>
      <cdr:y>0.29542</cdr:y>
    </cdr:from>
    <cdr:to>
      <cdr:x>0.89588</cdr:x>
      <cdr:y>0.90205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5EBC096A-139F-4DBD-81E8-ED875B8951AC}"/>
            </a:ext>
          </a:extLst>
        </cdr:cNvPr>
        <cdr:cNvCxnSpPr/>
      </cdr:nvCxnSpPr>
      <cdr:spPr>
        <a:xfrm xmlns:a="http://schemas.openxmlformats.org/drawingml/2006/main">
          <a:off x="295276" y="890589"/>
          <a:ext cx="6753225" cy="18288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0.04379</cdr:x>
      <cdr:y>0.21327</cdr:y>
    </cdr:from>
    <cdr:to>
      <cdr:x>0.52966</cdr:x>
      <cdr:y>0.89889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BDCC423-5E39-4BC2-BED1-213BD729108B}"/>
            </a:ext>
          </a:extLst>
        </cdr:cNvPr>
        <cdr:cNvCxnSpPr/>
      </cdr:nvCxnSpPr>
      <cdr:spPr>
        <a:xfrm xmlns:a="http://schemas.openxmlformats.org/drawingml/2006/main">
          <a:off x="295276" y="642939"/>
          <a:ext cx="3276600" cy="2066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11</xdr:col>
      <xdr:colOff>552450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5ADAF5-AF3C-4CCC-A40B-C5380159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523875</xdr:colOff>
      <xdr:row>19</xdr:row>
      <xdr:rowOff>133350</xdr:rowOff>
    </xdr:from>
    <xdr:to>
      <xdr:col>3</xdr:col>
      <xdr:colOff>604623</xdr:colOff>
      <xdr:row>34</xdr:row>
      <xdr:rowOff>181489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CDA5477-285B-41DC-AD5F-2DBD1183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3752850"/>
          <a:ext cx="2890623" cy="2905639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0.12217</cdr:x>
      <cdr:y>0.52254</cdr:y>
    </cdr:from>
    <cdr:to>
      <cdr:x>0.84532</cdr:x>
      <cdr:y>0.80635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BD5B98A7-45F4-44B4-9308-6AC14727C949}"/>
            </a:ext>
          </a:extLst>
        </cdr:cNvPr>
        <cdr:cNvCxnSpPr/>
      </cdr:nvCxnSpPr>
      <cdr:spPr>
        <a:xfrm xmlns:a="http://schemas.openxmlformats.org/drawingml/2006/main">
          <a:off x="514350" y="1490663"/>
          <a:ext cx="3044479" cy="80963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0.11538</cdr:x>
      <cdr:y>0.24875</cdr:y>
    </cdr:from>
    <cdr:to>
      <cdr:x>0.59063</cdr:x>
      <cdr:y>0.79299</cdr:y>
    </cdr:to>
    <cdr:cxnSp macro="">
      <cdr:nvCxnSpPr>
        <cdr:cNvPr id="7" name="Conector reto 6">
          <a:extLst xmlns:a="http://schemas.openxmlformats.org/drawingml/2006/main">
            <a:ext uri="{FF2B5EF4-FFF2-40B4-BE49-F238E27FC236}">
              <a16:creationId xmlns:a16="http://schemas.microsoft.com/office/drawing/2014/main" id="{3145C7CF-B3AB-4867-9C53-9CEEBA9395E8}"/>
            </a:ext>
          </a:extLst>
        </cdr:cNvPr>
        <cdr:cNvCxnSpPr/>
      </cdr:nvCxnSpPr>
      <cdr:spPr>
        <a:xfrm xmlns:a="http://schemas.openxmlformats.org/drawingml/2006/main">
          <a:off x="485775" y="709613"/>
          <a:ext cx="2000786" cy="15525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9523</xdr:colOff>
      <xdr:row>4</xdr:row>
      <xdr:rowOff>180975</xdr:rowOff>
    </xdr:from>
    <xdr:to>
      <xdr:col>21</xdr:col>
      <xdr:colOff>381000</xdr:colOff>
      <xdr:row>28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411B13-E703-4FDC-B9CF-7488EE08C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76200</xdr:colOff>
      <xdr:row>20</xdr:row>
      <xdr:rowOff>57151</xdr:rowOff>
    </xdr:from>
    <xdr:to>
      <xdr:col>4</xdr:col>
      <xdr:colOff>168325</xdr:colOff>
      <xdr:row>32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D2AC1F0-5AD7-4138-B8BE-6C04465A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867151"/>
          <a:ext cx="3483025" cy="2266949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0.06961</cdr:x>
      <cdr:y>0.10897</cdr:y>
    </cdr:from>
    <cdr:to>
      <cdr:x>0.6096</cdr:x>
      <cdr:y>0.86966</cdr:y>
    </cdr:to>
    <cdr:cxnSp macro="">
      <cdr:nvCxnSpPr>
        <cdr:cNvPr id="7" name="Conector reto 6">
          <a:extLst xmlns:a="http://schemas.openxmlformats.org/drawingml/2006/main">
            <a:ext uri="{FF2B5EF4-FFF2-40B4-BE49-F238E27FC236}">
              <a16:creationId xmlns:a16="http://schemas.microsoft.com/office/drawing/2014/main" id="{08827BD4-65C9-4971-91BB-1DF04697331C}"/>
            </a:ext>
          </a:extLst>
        </cdr:cNvPr>
        <cdr:cNvCxnSpPr/>
      </cdr:nvCxnSpPr>
      <cdr:spPr>
        <a:xfrm xmlns:a="http://schemas.openxmlformats.org/drawingml/2006/main" flipH="1" flipV="1">
          <a:off x="704852" y="485775"/>
          <a:ext cx="5467351" cy="33909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0.06585</cdr:x>
      <cdr:y>0.41026</cdr:y>
    </cdr:from>
    <cdr:to>
      <cdr:x>0.93697</cdr:x>
      <cdr:y>0.87393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CD55A589-A2C8-4356-8FEC-89B1AE87D122}"/>
            </a:ext>
          </a:extLst>
        </cdr:cNvPr>
        <cdr:cNvCxnSpPr/>
      </cdr:nvCxnSpPr>
      <cdr:spPr>
        <a:xfrm xmlns:a="http://schemas.openxmlformats.org/drawingml/2006/main" flipH="1" flipV="1">
          <a:off x="666752" y="1828800"/>
          <a:ext cx="8820150" cy="206692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0.06867</cdr:x>
      <cdr:y>0.33761</cdr:y>
    </cdr:from>
    <cdr:to>
      <cdr:x>0.82879</cdr:x>
      <cdr:y>0.87179</cdr:y>
    </cdr:to>
    <cdr:cxnSp macro="">
      <cdr:nvCxnSpPr>
        <cdr:cNvPr id="11" name="Conector reto 10">
          <a:extLst xmlns:a="http://schemas.openxmlformats.org/drawingml/2006/main">
            <a:ext uri="{FF2B5EF4-FFF2-40B4-BE49-F238E27FC236}">
              <a16:creationId xmlns:a16="http://schemas.microsoft.com/office/drawing/2014/main" id="{208D743F-E0F5-4DA0-B15E-4B3F77734262}"/>
            </a:ext>
          </a:extLst>
        </cdr:cNvPr>
        <cdr:cNvCxnSpPr/>
      </cdr:nvCxnSpPr>
      <cdr:spPr>
        <a:xfrm xmlns:a="http://schemas.openxmlformats.org/drawingml/2006/main" flipH="1" flipV="1">
          <a:off x="695328" y="1504951"/>
          <a:ext cx="7696199" cy="238124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A30EF-55D7-49EB-85E2-F1628306E163}" name="Tabela1" displayName="Tabela1" ref="A1:B5" totalsRowShown="0">
  <autoFilter ref="A1:B5" xr:uid="{3816CCBA-2EF7-4E9B-97C3-B7ECBBCAED22}"/>
  <tableColumns count="2">
    <tableColumn id="1" xr3:uid="{C62B0D9F-07A4-4EAB-9419-5F5F2CB5DF58}" name="A"/>
    <tableColumn id="2" xr3:uid="{0EE7E748-8314-48FF-BB70-BD478AFD6DBE}" name="B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E852-9C2F-4A8A-B432-E5924A2A7DF0}">
  <dimension ref="A1:C18"/>
  <sheetViews>
    <sheetView zoomScaleNormal="100" workbookViewId="0">
      <selection activeCell="D38" sqref="D38"/>
    </sheetView>
  </sheetViews>
  <sheetFormatPr defaultRowHeight="15" x14ac:dyDescent="0.25"/>
  <cols>
    <col min="3" max="3" width="10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12</v>
      </c>
      <c r="C2" t="s">
        <v>4</v>
      </c>
    </row>
    <row r="3" spans="1:3" x14ac:dyDescent="0.25">
      <c r="A3">
        <v>12</v>
      </c>
      <c r="B3">
        <v>0</v>
      </c>
    </row>
    <row r="4" spans="1:3" x14ac:dyDescent="0.25">
      <c r="A4">
        <v>0</v>
      </c>
      <c r="B4">
        <v>10.5</v>
      </c>
      <c r="C4" t="s">
        <v>5</v>
      </c>
    </row>
    <row r="5" spans="1:3" x14ac:dyDescent="0.25">
      <c r="A5">
        <v>21</v>
      </c>
      <c r="B5">
        <v>0</v>
      </c>
    </row>
    <row r="18" spans="2:3" x14ac:dyDescent="0.25">
      <c r="B18" s="1"/>
      <c r="C18" s="1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A819-15DC-4CCF-AC1C-6A74EECF4071}">
  <dimension ref="B2:D15"/>
  <sheetViews>
    <sheetView workbookViewId="0">
      <selection activeCell="B14" sqref="B14"/>
    </sheetView>
  </sheetViews>
  <sheetFormatPr defaultRowHeight="15" x14ac:dyDescent="0.25"/>
  <cols>
    <col min="2" max="2" width="16.5703125" bestFit="1" customWidth="1"/>
    <col min="3" max="3" width="16.42578125" customWidth="1"/>
    <col min="4" max="4" width="17.85546875" customWidth="1"/>
  </cols>
  <sheetData>
    <row r="2" spans="2:4" x14ac:dyDescent="0.25">
      <c r="B2" s="2" t="s">
        <v>6</v>
      </c>
      <c r="C2" s="2">
        <f>SUM(4*C3)+(3*C4)</f>
        <v>18</v>
      </c>
    </row>
    <row r="3" spans="2:4" x14ac:dyDescent="0.25">
      <c r="B3" s="2" t="s">
        <v>7</v>
      </c>
      <c r="C3" s="2">
        <v>3</v>
      </c>
    </row>
    <row r="4" spans="2:4" x14ac:dyDescent="0.25">
      <c r="B4" s="2" t="s">
        <v>8</v>
      </c>
      <c r="C4" s="2">
        <v>2</v>
      </c>
    </row>
    <row r="6" spans="2:4" x14ac:dyDescent="0.25">
      <c r="B6" s="3" t="s">
        <v>11</v>
      </c>
      <c r="C6" s="3" t="s">
        <v>8</v>
      </c>
      <c r="D6" s="3" t="s">
        <v>9</v>
      </c>
    </row>
    <row r="7" spans="2:4" x14ac:dyDescent="0.25">
      <c r="B7" s="2">
        <v>0</v>
      </c>
      <c r="C7" s="4">
        <v>4</v>
      </c>
      <c r="D7" s="2">
        <v>1</v>
      </c>
    </row>
    <row r="8" spans="2:4" x14ac:dyDescent="0.25">
      <c r="B8" s="2">
        <v>6</v>
      </c>
      <c r="C8" s="4">
        <v>0</v>
      </c>
      <c r="D8" s="2">
        <v>1</v>
      </c>
    </row>
    <row r="9" spans="2:4" x14ac:dyDescent="0.25">
      <c r="B9" s="2">
        <v>0</v>
      </c>
      <c r="C9" s="5">
        <v>8</v>
      </c>
      <c r="D9" s="2">
        <v>2</v>
      </c>
    </row>
    <row r="10" spans="2:4" x14ac:dyDescent="0.25">
      <c r="B10" s="2">
        <v>4</v>
      </c>
      <c r="C10" s="5">
        <v>0</v>
      </c>
      <c r="D10" s="2">
        <v>2</v>
      </c>
    </row>
    <row r="12" spans="2:4" x14ac:dyDescent="0.25">
      <c r="B12" s="2" t="s">
        <v>10</v>
      </c>
      <c r="C12" s="2">
        <v>3.2</v>
      </c>
    </row>
    <row r="14" spans="2:4" x14ac:dyDescent="0.25">
      <c r="B14" s="3">
        <f>SUM(2*C3)+(3*C4)</f>
        <v>12</v>
      </c>
      <c r="C14" s="3" t="s">
        <v>2</v>
      </c>
    </row>
    <row r="15" spans="2:4" x14ac:dyDescent="0.25">
      <c r="B15" s="3">
        <f>SUM(2*C3)+(1*C4)</f>
        <v>8</v>
      </c>
      <c r="C15" s="3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D541-3E7C-4C0E-94CA-6B5CC44D2FA1}">
  <dimension ref="B2:D18"/>
  <sheetViews>
    <sheetView tabSelected="1" topLeftCell="B1" workbookViewId="0">
      <selection activeCell="B20" sqref="B20"/>
    </sheetView>
  </sheetViews>
  <sheetFormatPr defaultRowHeight="15" x14ac:dyDescent="0.25"/>
  <cols>
    <col min="2" max="2" width="16.5703125" bestFit="1" customWidth="1"/>
    <col min="3" max="3" width="16.42578125" customWidth="1"/>
    <col min="4" max="4" width="17.85546875" customWidth="1"/>
  </cols>
  <sheetData>
    <row r="2" spans="2:4" x14ac:dyDescent="0.25">
      <c r="B2" s="2" t="s">
        <v>6</v>
      </c>
      <c r="C2" s="2">
        <f>SUM(8*C3)+(5*C4)</f>
        <v>4360</v>
      </c>
    </row>
    <row r="3" spans="2:4" x14ac:dyDescent="0.25">
      <c r="B3" s="2" t="s">
        <v>12</v>
      </c>
      <c r="C3" s="2">
        <v>320</v>
      </c>
    </row>
    <row r="4" spans="2:4" x14ac:dyDescent="0.25">
      <c r="B4" s="2" t="s">
        <v>13</v>
      </c>
      <c r="C4" s="2">
        <v>360</v>
      </c>
    </row>
    <row r="6" spans="2:4" x14ac:dyDescent="0.25">
      <c r="B6" s="3" t="s">
        <v>12</v>
      </c>
      <c r="C6" s="3" t="s">
        <v>13</v>
      </c>
      <c r="D6" s="3" t="s">
        <v>9</v>
      </c>
    </row>
    <row r="7" spans="2:4" x14ac:dyDescent="0.25">
      <c r="B7" s="2">
        <v>0</v>
      </c>
      <c r="C7" s="4">
        <v>1000</v>
      </c>
      <c r="D7" s="2">
        <v>1</v>
      </c>
    </row>
    <row r="8" spans="2:4" x14ac:dyDescent="0.25">
      <c r="B8" s="2">
        <v>500</v>
      </c>
      <c r="C8" s="4">
        <v>0</v>
      </c>
      <c r="D8" s="2">
        <v>1</v>
      </c>
    </row>
    <row r="9" spans="2:4" x14ac:dyDescent="0.25">
      <c r="B9" s="2">
        <v>0</v>
      </c>
      <c r="C9" s="5">
        <v>600</v>
      </c>
      <c r="D9" s="2">
        <v>2</v>
      </c>
    </row>
    <row r="10" spans="2:4" x14ac:dyDescent="0.25">
      <c r="B10" s="2">
        <v>800</v>
      </c>
      <c r="C10" s="5">
        <v>0</v>
      </c>
      <c r="D10" s="2">
        <v>2</v>
      </c>
    </row>
    <row r="11" spans="2:4" x14ac:dyDescent="0.25">
      <c r="B11" s="2">
        <v>0</v>
      </c>
      <c r="C11" s="5">
        <v>700</v>
      </c>
      <c r="D11" s="2">
        <v>3</v>
      </c>
    </row>
    <row r="12" spans="2:4" x14ac:dyDescent="0.25">
      <c r="B12" s="2">
        <v>700</v>
      </c>
      <c r="C12" s="5">
        <v>0</v>
      </c>
      <c r="D12" s="2">
        <v>3</v>
      </c>
    </row>
    <row r="14" spans="2:4" x14ac:dyDescent="0.25">
      <c r="B14" s="2" t="s">
        <v>10</v>
      </c>
      <c r="C14" s="6">
        <v>320.36</v>
      </c>
    </row>
    <row r="16" spans="2:4" x14ac:dyDescent="0.25">
      <c r="B16" s="3" t="s">
        <v>15</v>
      </c>
      <c r="C16" s="3" t="s">
        <v>2</v>
      </c>
    </row>
    <row r="17" spans="2:3" x14ac:dyDescent="0.25">
      <c r="B17" s="3" t="s">
        <v>16</v>
      </c>
      <c r="C17" s="3" t="s">
        <v>3</v>
      </c>
    </row>
    <row r="18" spans="2:3" x14ac:dyDescent="0.25">
      <c r="B18" s="3">
        <f>C3+C4</f>
        <v>680</v>
      </c>
      <c r="C18" s="3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Vendedor Meias</vt:lpstr>
      <vt:lpstr>Marcenaria</vt:lpstr>
      <vt:lpstr>Fabrica brinquedos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2026-08-19T23:47:10Z</dcterms:created>
  <dcterms:modified xsi:type="dcterms:W3CDTF">2026-08-26T23:12:41Z</dcterms:modified>
</cp:coreProperties>
</file>